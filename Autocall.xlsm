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X01376312\Documents\code\"/>
    </mc:Choice>
  </mc:AlternateContent>
  <bookViews>
    <workbookView xWindow="0" yWindow="0" windowWidth="21570" windowHeight="8805"/>
  </bookViews>
  <sheets>
    <sheet name="Control" sheetId="1" r:id="rId1"/>
    <sheet name="Underlyings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4" i="1" l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13" i="1"/>
  <c r="H5" i="2"/>
  <c r="E5" i="2"/>
  <c r="B5" i="2"/>
  <c r="N4" i="2"/>
  <c r="O4" i="2" s="1"/>
  <c r="K4" i="2"/>
  <c r="L4" i="2" s="1"/>
  <c r="H4" i="2"/>
  <c r="I4" i="2" s="1"/>
  <c r="E4" i="2"/>
  <c r="F4" i="2" s="1"/>
  <c r="B4" i="2"/>
  <c r="C4" i="2" s="1"/>
  <c r="H27" i="1"/>
  <c r="H28" i="1" s="1"/>
  <c r="H29" i="1" s="1"/>
  <c r="H30" i="1" s="1"/>
  <c r="H31" i="1" s="1"/>
  <c r="H16" i="1" l="1"/>
  <c r="H17" i="1" s="1"/>
  <c r="H18" i="1" s="1"/>
  <c r="H19" i="1" s="1"/>
  <c r="H20" i="1" s="1"/>
  <c r="H21" i="1" s="1"/>
  <c r="H22" i="1" s="1"/>
  <c r="H23" i="1" s="1"/>
  <c r="H24" i="1" s="1"/>
  <c r="H25" i="1" s="1"/>
  <c r="H26" i="1" s="1"/>
  <c r="C15" i="1" l="1"/>
</calcChain>
</file>

<file path=xl/sharedStrings.xml><?xml version="1.0" encoding="utf-8"?>
<sst xmlns="http://schemas.openxmlformats.org/spreadsheetml/2006/main" count="22" uniqueCount="21">
  <si>
    <t>Welcome</t>
  </si>
  <si>
    <t>Trigger Barrier</t>
  </si>
  <si>
    <t>Trigger Barrier Active</t>
  </si>
  <si>
    <t>Trigger coupon</t>
  </si>
  <si>
    <t>Coupon Barrier</t>
  </si>
  <si>
    <t>Coupon Barrier Active</t>
  </si>
  <si>
    <t>Coupon</t>
  </si>
  <si>
    <t>Underlyings</t>
  </si>
  <si>
    <t>Start Date</t>
  </si>
  <si>
    <t>End date</t>
  </si>
  <si>
    <t>TTE FP</t>
  </si>
  <si>
    <t>BNP FP</t>
  </si>
  <si>
    <t>Type</t>
  </si>
  <si>
    <t>Maturity</t>
  </si>
  <si>
    <t>PDI Strike</t>
  </si>
  <si>
    <t>PDI Barrier</t>
  </si>
  <si>
    <t>PDI Leverage</t>
  </si>
  <si>
    <t>ACA FP</t>
  </si>
  <si>
    <t>60m</t>
  </si>
  <si>
    <t>WOF</t>
  </si>
  <si>
    <t>coupon memory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</si>
</sst>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dd/mm/yyyy"/>
    <numFmt numFmtId="167" formatCode="0.0%"/>
    <numFmt numFmtId="168" formatCode="0.000%"/>
  </numFmts>
  <fonts count="4" x14ac:knownFonts="1">
    <font>
      <sz val="11"/>
      <color theme="1"/>
      <name val="Calibri"/>
      <family val="2"/>
      <scheme val="minor"/>
    </font>
    <font>
      <b/>
      <sz val="25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571E1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26">
    <xf numFmtId="0" fontId="0" fillId="0" borderId="0" xfId="0"/>
    <xf numFmtId="0" fontId="0" fillId="2" borderId="0" xfId="0" applyFill="1"/>
    <xf numFmtId="0" fontId="0" fillId="3" borderId="9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14" fontId="0" fillId="3" borderId="9" xfId="0" applyNumberFormat="1" applyFill="1" applyBorder="1" applyAlignment="1">
      <alignment horizontal="center"/>
    </xf>
    <xf numFmtId="0" fontId="2" fillId="4" borderId="13" xfId="0" applyFont="1" applyFill="1" applyBorder="1" applyAlignment="1">
      <alignment horizontal="center"/>
    </xf>
    <xf numFmtId="0" fontId="2" fillId="4" borderId="14" xfId="0" applyFont="1" applyFill="1" applyBorder="1" applyAlignment="1">
      <alignment horizontal="center"/>
    </xf>
    <xf numFmtId="0" fontId="2" fillId="4" borderId="15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0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164" fontId="0" fillId="0" borderId="0" xfId="0" applyNumberFormat="1"/>
    <xf numFmtId="9" fontId="0" fillId="2" borderId="0" xfId="1" applyFont="1" applyFill="1"/>
    <xf numFmtId="1" fontId="0" fillId="2" borderId="0" xfId="1" applyNumberFormat="1" applyFont="1" applyFill="1"/>
    <xf numFmtId="167" fontId="0" fillId="2" borderId="0" xfId="1" applyNumberFormat="1" applyFont="1" applyFill="1"/>
    <xf numFmtId="9" fontId="0" fillId="2" borderId="0" xfId="0" applyNumberFormat="1" applyFill="1"/>
    <xf numFmtId="10" fontId="0" fillId="2" borderId="0" xfId="1" applyNumberFormat="1" applyFont="1" applyFill="1"/>
    <xf numFmtId="168" fontId="0" fillId="2" borderId="0" xfId="1" applyNumberFormat="1" applyFont="1" applyFill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1571E1"/>
      <color rgb="FF00B5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 t="s">
        <v>#N/A N/A</v>
        <stp/>
        <stp>BDH|16203679625658267669</stp>
        <tr r="B5" s="2"/>
      </tp>
      <tp t="s">
        <v>#N/A N/A</v>
        <stp/>
        <stp>BDH|10102363718726777847</stp>
        <tr r="E5" s="2"/>
      </tp>
    </main>
    <main first="bofaddin.rtdserver">
      <tp t="s">
        <v>#N/A N/A</v>
        <stp/>
        <stp>BDH|9373718663388867925</stp>
        <tr r="H5" s="2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O51"/>
  <sheetViews>
    <sheetView tabSelected="1" topLeftCell="E9" workbookViewId="0">
      <selection activeCell="K15" sqref="K15"/>
    </sheetView>
  </sheetViews>
  <sheetFormatPr defaultRowHeight="15" x14ac:dyDescent="0.25"/>
  <cols>
    <col min="1" max="1" width="9.140625" style="1"/>
    <col min="2" max="2" width="11.5703125" style="1" bestFit="1" customWidth="1"/>
    <col min="3" max="3" width="10.7109375" style="1" bestFit="1" customWidth="1"/>
    <col min="4" max="6" width="9.140625" style="1"/>
    <col min="7" max="7" width="13.7109375" style="1" bestFit="1" customWidth="1"/>
    <col min="8" max="8" width="14.28515625" style="1" bestFit="1" customWidth="1"/>
    <col min="9" max="9" width="19.85546875" style="1" bestFit="1" customWidth="1"/>
    <col min="10" max="11" width="20.5703125" style="1" bestFit="1" customWidth="1"/>
    <col min="12" max="12" width="7.85546875" style="1" bestFit="1" customWidth="1"/>
    <col min="13" max="16384" width="9.140625" style="1"/>
  </cols>
  <sheetData>
    <row r="3" spans="2:15" ht="15.75" thickBot="1" x14ac:dyDescent="0.3"/>
    <row r="4" spans="2:15" x14ac:dyDescent="0.25">
      <c r="F4" s="10" t="s">
        <v>0</v>
      </c>
      <c r="G4" s="11"/>
      <c r="H4" s="11"/>
      <c r="I4" s="11"/>
      <c r="J4" s="11"/>
      <c r="K4" s="11"/>
      <c r="L4" s="11"/>
      <c r="M4" s="11"/>
      <c r="N4" s="11"/>
      <c r="O4" s="12"/>
    </row>
    <row r="5" spans="2:15" x14ac:dyDescent="0.25">
      <c r="F5" s="13"/>
      <c r="G5" s="14"/>
      <c r="H5" s="14"/>
      <c r="I5" s="14"/>
      <c r="J5" s="14"/>
      <c r="K5" s="14"/>
      <c r="L5" s="14"/>
      <c r="M5" s="14"/>
      <c r="N5" s="14"/>
      <c r="O5" s="15"/>
    </row>
    <row r="6" spans="2:15" ht="15.75" thickBot="1" x14ac:dyDescent="0.3">
      <c r="F6" s="16"/>
      <c r="G6" s="17"/>
      <c r="H6" s="17"/>
      <c r="I6" s="17"/>
      <c r="J6" s="17"/>
      <c r="K6" s="17"/>
      <c r="L6" s="17"/>
      <c r="M6" s="17"/>
      <c r="N6" s="17"/>
      <c r="O6" s="18"/>
    </row>
    <row r="10" spans="2:15" ht="15.75" thickBot="1" x14ac:dyDescent="0.3"/>
    <row r="11" spans="2:15" ht="15.75" thickBot="1" x14ac:dyDescent="0.3">
      <c r="G11" s="2" t="s">
        <v>1</v>
      </c>
      <c r="H11" s="3" t="s">
        <v>3</v>
      </c>
      <c r="I11" s="3" t="s">
        <v>2</v>
      </c>
      <c r="J11" s="3" t="s">
        <v>5</v>
      </c>
      <c r="K11" s="3" t="s">
        <v>4</v>
      </c>
      <c r="L11" s="4" t="s">
        <v>6</v>
      </c>
    </row>
    <row r="12" spans="2:15" ht="15.75" thickBot="1" x14ac:dyDescent="0.3">
      <c r="G12" s="20">
        <v>1</v>
      </c>
      <c r="H12" s="22">
        <v>0</v>
      </c>
      <c r="I12" s="21" t="b">
        <v>0</v>
      </c>
      <c r="J12" s="21" t="b">
        <v>0</v>
      </c>
      <c r="K12" s="20">
        <v>0.8</v>
      </c>
      <c r="L12" s="24">
        <v>1E-4</v>
      </c>
    </row>
    <row r="13" spans="2:15" ht="15.75" thickBot="1" x14ac:dyDescent="0.3">
      <c r="B13" s="2" t="s">
        <v>8</v>
      </c>
      <c r="C13" s="6">
        <v>41693</v>
      </c>
      <c r="G13" s="20">
        <v>1</v>
      </c>
      <c r="H13" s="22">
        <v>0</v>
      </c>
      <c r="I13" s="21" t="b">
        <v>0</v>
      </c>
      <c r="J13" s="21" t="b">
        <v>0</v>
      </c>
      <c r="K13" s="20">
        <v>0.8</v>
      </c>
      <c r="L13" s="24">
        <f>+L12+$L$12</f>
        <v>2.0000000000000001E-4</v>
      </c>
    </row>
    <row r="14" spans="2:15" ht="15.75" thickBot="1" x14ac:dyDescent="0.3">
      <c r="G14" s="20">
        <v>1</v>
      </c>
      <c r="H14" s="22">
        <v>0</v>
      </c>
      <c r="I14" s="21" t="b">
        <v>0</v>
      </c>
      <c r="J14" s="21" t="b">
        <v>0</v>
      </c>
      <c r="K14" s="20">
        <v>0.8</v>
      </c>
      <c r="L14" s="24">
        <f t="shared" ref="L14:L31" si="0">+L13+$L$12</f>
        <v>3.0000000000000003E-4</v>
      </c>
    </row>
    <row r="15" spans="2:15" ht="15.75" thickBot="1" x14ac:dyDescent="0.3">
      <c r="B15" s="2" t="s">
        <v>9</v>
      </c>
      <c r="C15" s="6">
        <f ca="1">+TODAY()</f>
        <v>44616</v>
      </c>
      <c r="G15" s="20">
        <v>1</v>
      </c>
      <c r="H15" s="22">
        <v>5.0000000000000001E-3</v>
      </c>
      <c r="I15" s="21" t="b">
        <v>1</v>
      </c>
      <c r="J15" s="21" t="b">
        <v>1</v>
      </c>
      <c r="K15" s="20">
        <v>0.8</v>
      </c>
      <c r="L15" s="24">
        <f t="shared" si="0"/>
        <v>4.0000000000000002E-4</v>
      </c>
    </row>
    <row r="16" spans="2:15" ht="15.75" thickBot="1" x14ac:dyDescent="0.3">
      <c r="G16" s="20">
        <v>1</v>
      </c>
      <c r="H16" s="22">
        <f>+H15+1%</f>
        <v>1.4999999999999999E-2</v>
      </c>
      <c r="I16" s="21" t="b">
        <v>1</v>
      </c>
      <c r="J16" s="21" t="b">
        <v>1</v>
      </c>
      <c r="K16" s="20">
        <v>0.8</v>
      </c>
      <c r="L16" s="24">
        <f t="shared" si="0"/>
        <v>5.0000000000000001E-4</v>
      </c>
    </row>
    <row r="17" spans="2:12" ht="15.75" thickBot="1" x14ac:dyDescent="0.3">
      <c r="B17" s="5" t="s">
        <v>7</v>
      </c>
      <c r="C17" s="7" t="s">
        <v>10</v>
      </c>
      <c r="G17" s="20">
        <v>1</v>
      </c>
      <c r="H17" s="22">
        <f t="shared" ref="H17:H51" si="1">+H16+1%</f>
        <v>2.5000000000000001E-2</v>
      </c>
      <c r="I17" s="21" t="b">
        <v>1</v>
      </c>
      <c r="J17" s="21" t="b">
        <v>1</v>
      </c>
      <c r="K17" s="20">
        <v>0.8</v>
      </c>
      <c r="L17" s="24">
        <f t="shared" si="0"/>
        <v>6.0000000000000006E-4</v>
      </c>
    </row>
    <row r="18" spans="2:12" x14ac:dyDescent="0.25">
      <c r="C18" s="8" t="s">
        <v>11</v>
      </c>
      <c r="G18" s="20">
        <v>1</v>
      </c>
      <c r="H18" s="22">
        <f t="shared" si="1"/>
        <v>3.5000000000000003E-2</v>
      </c>
      <c r="I18" s="21" t="b">
        <v>1</v>
      </c>
      <c r="J18" s="21" t="b">
        <v>1</v>
      </c>
      <c r="K18" s="20">
        <v>0.8</v>
      </c>
      <c r="L18" s="24">
        <f t="shared" si="0"/>
        <v>7.000000000000001E-4</v>
      </c>
    </row>
    <row r="19" spans="2:12" x14ac:dyDescent="0.25">
      <c r="C19" s="8" t="s">
        <v>17</v>
      </c>
      <c r="G19" s="20">
        <v>1</v>
      </c>
      <c r="H19" s="22">
        <f t="shared" si="1"/>
        <v>4.5000000000000005E-2</v>
      </c>
      <c r="I19" s="21" t="b">
        <v>1</v>
      </c>
      <c r="J19" s="21" t="b">
        <v>1</v>
      </c>
      <c r="K19" s="20">
        <v>0.8</v>
      </c>
      <c r="L19" s="24">
        <f t="shared" si="0"/>
        <v>8.0000000000000015E-4</v>
      </c>
    </row>
    <row r="20" spans="2:12" x14ac:dyDescent="0.25">
      <c r="C20" s="8"/>
      <c r="G20" s="20">
        <v>1</v>
      </c>
      <c r="H20" s="22">
        <f t="shared" si="1"/>
        <v>5.5000000000000007E-2</v>
      </c>
      <c r="I20" s="21" t="b">
        <v>1</v>
      </c>
      <c r="J20" s="21" t="b">
        <v>1</v>
      </c>
      <c r="K20" s="20">
        <v>0.8</v>
      </c>
      <c r="L20" s="24">
        <f t="shared" si="0"/>
        <v>9.0000000000000019E-4</v>
      </c>
    </row>
    <row r="21" spans="2:12" x14ac:dyDescent="0.25">
      <c r="C21" s="9"/>
      <c r="G21" s="20">
        <v>1</v>
      </c>
      <c r="H21" s="22">
        <f t="shared" si="1"/>
        <v>6.5000000000000002E-2</v>
      </c>
      <c r="I21" s="21" t="b">
        <v>1</v>
      </c>
      <c r="J21" s="21" t="b">
        <v>1</v>
      </c>
      <c r="K21" s="20">
        <v>0.8</v>
      </c>
      <c r="L21" s="24">
        <f t="shared" si="0"/>
        <v>1.0000000000000002E-3</v>
      </c>
    </row>
    <row r="22" spans="2:12" x14ac:dyDescent="0.25">
      <c r="G22" s="20">
        <v>1</v>
      </c>
      <c r="H22" s="22">
        <f t="shared" si="1"/>
        <v>7.4999999999999997E-2</v>
      </c>
      <c r="I22" s="21" t="b">
        <v>1</v>
      </c>
      <c r="J22" s="21" t="b">
        <v>1</v>
      </c>
      <c r="K22" s="20">
        <v>0.8</v>
      </c>
      <c r="L22" s="24">
        <f t="shared" si="0"/>
        <v>1.1000000000000003E-3</v>
      </c>
    </row>
    <row r="23" spans="2:12" x14ac:dyDescent="0.25">
      <c r="B23" s="1" t="s">
        <v>12</v>
      </c>
      <c r="C23" s="1" t="s">
        <v>19</v>
      </c>
      <c r="G23" s="20">
        <v>1</v>
      </c>
      <c r="H23" s="22">
        <f t="shared" si="1"/>
        <v>8.4999999999999992E-2</v>
      </c>
      <c r="I23" s="21" t="b">
        <v>1</v>
      </c>
      <c r="J23" s="21" t="b">
        <v>1</v>
      </c>
      <c r="K23" s="20">
        <v>0.8</v>
      </c>
      <c r="L23" s="24">
        <f t="shared" si="0"/>
        <v>1.2000000000000003E-3</v>
      </c>
    </row>
    <row r="24" spans="2:12" x14ac:dyDescent="0.25">
      <c r="G24" s="20">
        <v>1</v>
      </c>
      <c r="H24" s="22">
        <f t="shared" si="1"/>
        <v>9.4999999999999987E-2</v>
      </c>
      <c r="I24" s="21" t="b">
        <v>1</v>
      </c>
      <c r="J24" s="21" t="b">
        <v>1</v>
      </c>
      <c r="K24" s="20">
        <v>0.8</v>
      </c>
      <c r="L24" s="24">
        <f t="shared" si="0"/>
        <v>1.3000000000000004E-3</v>
      </c>
    </row>
    <row r="25" spans="2:12" x14ac:dyDescent="0.25">
      <c r="B25" s="1" t="s">
        <v>13</v>
      </c>
      <c r="C25" s="1" t="s">
        <v>18</v>
      </c>
      <c r="G25" s="20">
        <v>1</v>
      </c>
      <c r="H25" s="22">
        <f t="shared" si="1"/>
        <v>0.10499999999999998</v>
      </c>
      <c r="I25" s="21" t="b">
        <v>1</v>
      </c>
      <c r="J25" s="21" t="b">
        <v>1</v>
      </c>
      <c r="K25" s="20">
        <v>0.8</v>
      </c>
      <c r="L25" s="24">
        <f t="shared" si="0"/>
        <v>1.4000000000000004E-3</v>
      </c>
    </row>
    <row r="26" spans="2:12" x14ac:dyDescent="0.25">
      <c r="G26" s="20">
        <v>1</v>
      </c>
      <c r="H26" s="22">
        <f t="shared" si="1"/>
        <v>0.11499999999999998</v>
      </c>
      <c r="I26" s="21" t="b">
        <v>1</v>
      </c>
      <c r="J26" s="21" t="b">
        <v>1</v>
      </c>
      <c r="K26" s="20">
        <v>0.8</v>
      </c>
      <c r="L26" s="24">
        <f t="shared" si="0"/>
        <v>1.5000000000000005E-3</v>
      </c>
    </row>
    <row r="27" spans="2:12" x14ac:dyDescent="0.25">
      <c r="G27" s="20">
        <v>1</v>
      </c>
      <c r="H27" s="22">
        <f t="shared" ref="H27:H31" si="2">+H26+1%</f>
        <v>0.12499999999999997</v>
      </c>
      <c r="I27" s="21" t="b">
        <v>1</v>
      </c>
      <c r="J27" s="21" t="b">
        <v>1</v>
      </c>
      <c r="K27" s="20">
        <v>0.8</v>
      </c>
      <c r="L27" s="24">
        <f t="shared" si="0"/>
        <v>1.6000000000000005E-3</v>
      </c>
    </row>
    <row r="28" spans="2:12" x14ac:dyDescent="0.25">
      <c r="B28" s="1" t="s">
        <v>14</v>
      </c>
      <c r="C28" s="23">
        <v>1</v>
      </c>
      <c r="G28" s="20">
        <v>1</v>
      </c>
      <c r="H28" s="22">
        <f t="shared" si="2"/>
        <v>0.13499999999999998</v>
      </c>
      <c r="I28" s="21" t="b">
        <v>1</v>
      </c>
      <c r="J28" s="21" t="b">
        <v>1</v>
      </c>
      <c r="K28" s="20">
        <v>0.8</v>
      </c>
      <c r="L28" s="24">
        <f t="shared" si="0"/>
        <v>1.7000000000000006E-3</v>
      </c>
    </row>
    <row r="29" spans="2:12" x14ac:dyDescent="0.25">
      <c r="B29" s="1" t="s">
        <v>15</v>
      </c>
      <c r="C29" s="23">
        <v>0.8</v>
      </c>
      <c r="G29" s="20">
        <v>1</v>
      </c>
      <c r="H29" s="22">
        <f t="shared" si="2"/>
        <v>0.14499999999999999</v>
      </c>
      <c r="I29" s="21" t="b">
        <v>1</v>
      </c>
      <c r="J29" s="21" t="b">
        <v>1</v>
      </c>
      <c r="K29" s="20">
        <v>0.8</v>
      </c>
      <c r="L29" s="24">
        <f t="shared" si="0"/>
        <v>1.8000000000000006E-3</v>
      </c>
    </row>
    <row r="30" spans="2:12" x14ac:dyDescent="0.25">
      <c r="B30" s="1" t="s">
        <v>16</v>
      </c>
      <c r="C30" s="23">
        <v>1</v>
      </c>
      <c r="G30" s="20">
        <v>1</v>
      </c>
      <c r="H30" s="22">
        <f t="shared" si="2"/>
        <v>0.155</v>
      </c>
      <c r="I30" s="21" t="b">
        <v>1</v>
      </c>
      <c r="J30" s="21" t="b">
        <v>1</v>
      </c>
      <c r="K30" s="20">
        <v>0.8</v>
      </c>
      <c r="L30" s="24">
        <f t="shared" si="0"/>
        <v>1.9000000000000006E-3</v>
      </c>
    </row>
    <row r="31" spans="2:12" x14ac:dyDescent="0.25">
      <c r="G31" s="20">
        <v>1</v>
      </c>
      <c r="H31" s="22">
        <f t="shared" si="2"/>
        <v>0.16500000000000001</v>
      </c>
      <c r="I31" s="21" t="b">
        <v>1</v>
      </c>
      <c r="J31" s="21" t="b">
        <v>1</v>
      </c>
      <c r="K31" s="20">
        <v>0.8</v>
      </c>
      <c r="L31" s="24">
        <f t="shared" si="0"/>
        <v>2.0000000000000005E-3</v>
      </c>
    </row>
    <row r="32" spans="2:12" x14ac:dyDescent="0.25">
      <c r="B32" s="1" t="s">
        <v>20</v>
      </c>
      <c r="C32" s="1" t="b">
        <v>0</v>
      </c>
      <c r="G32" s="20"/>
      <c r="H32" s="22"/>
      <c r="I32" s="21"/>
      <c r="J32" s="21"/>
      <c r="K32" s="20"/>
      <c r="L32" s="20"/>
    </row>
    <row r="33" spans="7:12" x14ac:dyDescent="0.25">
      <c r="G33" s="20"/>
      <c r="H33" s="22"/>
      <c r="I33" s="21"/>
      <c r="J33" s="21"/>
      <c r="K33" s="20"/>
      <c r="L33" s="20"/>
    </row>
    <row r="34" spans="7:12" x14ac:dyDescent="0.25">
      <c r="G34" s="20"/>
      <c r="H34" s="22"/>
      <c r="I34" s="21"/>
      <c r="J34" s="21"/>
      <c r="K34" s="20"/>
      <c r="L34" s="20"/>
    </row>
    <row r="35" spans="7:12" x14ac:dyDescent="0.25">
      <c r="G35" s="20"/>
      <c r="H35" s="22"/>
      <c r="I35" s="21"/>
      <c r="J35" s="21"/>
      <c r="K35" s="20"/>
      <c r="L35" s="20"/>
    </row>
    <row r="36" spans="7:12" x14ac:dyDescent="0.25">
      <c r="G36" s="20"/>
      <c r="H36" s="22"/>
      <c r="I36" s="21"/>
      <c r="J36" s="21"/>
      <c r="K36" s="20"/>
      <c r="L36" s="20"/>
    </row>
    <row r="37" spans="7:12" x14ac:dyDescent="0.25">
      <c r="G37" s="20"/>
      <c r="H37" s="22"/>
      <c r="I37" s="21"/>
      <c r="J37" s="21"/>
      <c r="K37" s="20"/>
      <c r="L37" s="20"/>
    </row>
    <row r="38" spans="7:12" x14ac:dyDescent="0.25">
      <c r="G38" s="20"/>
      <c r="H38" s="22"/>
      <c r="I38" s="21"/>
      <c r="J38" s="21"/>
      <c r="K38" s="20"/>
      <c r="L38" s="20"/>
    </row>
    <row r="39" spans="7:12" x14ac:dyDescent="0.25">
      <c r="G39" s="20"/>
      <c r="H39" s="22"/>
      <c r="I39" s="21"/>
      <c r="J39" s="21"/>
      <c r="K39" s="20"/>
      <c r="L39" s="20"/>
    </row>
    <row r="40" spans="7:12" x14ac:dyDescent="0.25">
      <c r="G40" s="20"/>
      <c r="H40" s="22"/>
      <c r="I40" s="21"/>
      <c r="J40" s="21"/>
      <c r="K40" s="20"/>
      <c r="L40" s="20"/>
    </row>
    <row r="41" spans="7:12" x14ac:dyDescent="0.25">
      <c r="G41" s="20"/>
      <c r="H41" s="22"/>
      <c r="I41" s="21"/>
      <c r="J41" s="21"/>
      <c r="K41" s="20"/>
      <c r="L41" s="20"/>
    </row>
    <row r="42" spans="7:12" x14ac:dyDescent="0.25">
      <c r="G42" s="20"/>
      <c r="H42" s="22"/>
      <c r="I42" s="21"/>
      <c r="J42" s="21"/>
      <c r="K42" s="20"/>
      <c r="L42" s="20"/>
    </row>
    <row r="43" spans="7:12" x14ac:dyDescent="0.25">
      <c r="G43" s="20"/>
      <c r="H43" s="22"/>
      <c r="I43" s="21"/>
      <c r="J43" s="21"/>
      <c r="K43" s="20"/>
      <c r="L43" s="20"/>
    </row>
    <row r="44" spans="7:12" x14ac:dyDescent="0.25">
      <c r="G44" s="20"/>
      <c r="H44" s="22"/>
      <c r="I44" s="21"/>
      <c r="J44" s="21"/>
      <c r="K44" s="20"/>
      <c r="L44" s="20"/>
    </row>
    <row r="45" spans="7:12" x14ac:dyDescent="0.25">
      <c r="G45" s="20"/>
      <c r="H45" s="22"/>
      <c r="I45" s="21"/>
      <c r="J45" s="21"/>
      <c r="K45" s="20"/>
      <c r="L45" s="20"/>
    </row>
    <row r="46" spans="7:12" x14ac:dyDescent="0.25">
      <c r="G46" s="20"/>
      <c r="H46" s="22"/>
      <c r="I46" s="21"/>
      <c r="J46" s="21"/>
      <c r="K46" s="20"/>
      <c r="L46" s="20"/>
    </row>
    <row r="47" spans="7:12" x14ac:dyDescent="0.25">
      <c r="G47" s="20"/>
      <c r="H47" s="22"/>
      <c r="I47" s="21"/>
      <c r="J47" s="21"/>
      <c r="K47" s="20"/>
      <c r="L47" s="20"/>
    </row>
    <row r="48" spans="7:12" x14ac:dyDescent="0.25">
      <c r="G48" s="20"/>
      <c r="H48" s="22"/>
      <c r="I48" s="21"/>
      <c r="J48" s="21"/>
      <c r="K48" s="20"/>
      <c r="L48" s="20"/>
    </row>
    <row r="49" spans="7:12" x14ac:dyDescent="0.25">
      <c r="G49" s="20"/>
      <c r="H49" s="22"/>
      <c r="I49" s="21"/>
      <c r="J49" s="21"/>
      <c r="K49" s="20"/>
      <c r="L49" s="20"/>
    </row>
    <row r="50" spans="7:12" x14ac:dyDescent="0.25">
      <c r="G50" s="20"/>
      <c r="H50" s="22"/>
      <c r="I50" s="21"/>
      <c r="J50" s="21"/>
      <c r="K50" s="20"/>
      <c r="L50" s="20"/>
    </row>
    <row r="51" spans="7:12" x14ac:dyDescent="0.25">
      <c r="G51" s="20"/>
      <c r="H51" s="25"/>
      <c r="I51" s="21"/>
      <c r="J51" s="21"/>
      <c r="K51" s="20"/>
      <c r="L51" s="20"/>
    </row>
  </sheetData>
  <mergeCells count="1">
    <mergeCell ref="F4:O6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O2822"/>
  <sheetViews>
    <sheetView zoomScale="70" zoomScaleNormal="70" workbookViewId="0">
      <selection activeCell="H5" sqref="H5"/>
    </sheetView>
  </sheetViews>
  <sheetFormatPr defaultRowHeight="15" x14ac:dyDescent="0.25"/>
  <cols>
    <col min="2" max="2" width="12" bestFit="1" customWidth="1"/>
    <col min="3" max="3" width="12.42578125" bestFit="1" customWidth="1"/>
    <col min="5" max="5" width="12.7109375" bestFit="1" customWidth="1"/>
    <col min="8" max="8" width="12.7109375" bestFit="1" customWidth="1"/>
    <col min="11" max="11" width="12.7109375" bestFit="1" customWidth="1"/>
    <col min="14" max="14" width="12.7109375" bestFit="1" customWidth="1"/>
  </cols>
  <sheetData>
    <row r="2" spans="2:15" x14ac:dyDescent="0.25">
      <c r="B2" t="s">
        <v>7</v>
      </c>
    </row>
    <row r="4" spans="2:15" x14ac:dyDescent="0.25">
      <c r="B4" t="str">
        <f>+IF(Control!C17="","","Dates " &amp; Control!C17)</f>
        <v>Dates TTE FP</v>
      </c>
      <c r="C4" t="str">
        <f>+IF(B4="","",RIGHT(B4,LEN(B4)-6))</f>
        <v>TTE FP</v>
      </c>
      <c r="E4" t="str">
        <f>+IF(Control!C18="","","Dates " &amp;Control!C18)</f>
        <v>Dates BNP FP</v>
      </c>
      <c r="F4" t="str">
        <f>+IF(E4="","",RIGHT(E4,LEN(E4)-6))</f>
        <v>BNP FP</v>
      </c>
      <c r="H4" t="str">
        <f>+IF(Control!C19="","","Dates " &amp;Control!C19)</f>
        <v>Dates ACA FP</v>
      </c>
      <c r="I4" t="str">
        <f>+IF(H4="","",RIGHT(H4,LEN(H4)-6))</f>
        <v>ACA FP</v>
      </c>
      <c r="K4" t="str">
        <f>+IF(Control!C20="","","Dates " &amp;Control!C20)</f>
        <v/>
      </c>
      <c r="L4" t="str">
        <f>+IF(K4="","",RIGHT(K4,LEN(K4)-6))</f>
        <v/>
      </c>
      <c r="N4" t="str">
        <f>+IF(Control!C21="","","Dates " &amp;Control!C21)</f>
        <v/>
      </c>
      <c r="O4" t="str">
        <f>+IF(N4="","",RIGHT(N4,LEN(N4)-6))</f>
        <v/>
      </c>
    </row>
    <row r="5" spans="2:15" x14ac:dyDescent="0.25">
      <c r="B5" s="19">
        <f ca="1">+IF(Control!C17="","",_xll.BDH(Control!C17 &amp; " Equity", "PX_LAST",Control!C13,TODAY()))</f>
        <v>41694</v>
      </c>
      <c r="C5">
        <v>46.234999999999999</v>
      </c>
      <c r="E5" s="19">
        <f ca="1">+IF(Control!C18="","",_xll.BDH(Control!C18 &amp; " Equity", "PX_LAST",Control!C13,TODAY()))</f>
        <v>41694</v>
      </c>
      <c r="F5">
        <v>59.34</v>
      </c>
      <c r="H5" s="19">
        <f ca="1">+IF(Control!C19="","",_xll.BDH(Control!C19 &amp; " Equity", "PX_LAST",Control!C13,TODAY()))</f>
        <v>41694</v>
      </c>
      <c r="I5">
        <v>11.25</v>
      </c>
      <c r="K5" s="19"/>
      <c r="N5" s="19"/>
    </row>
    <row r="6" spans="2:15" x14ac:dyDescent="0.25">
      <c r="B6" s="19">
        <v>41695</v>
      </c>
      <c r="C6">
        <v>46.405000000000001</v>
      </c>
      <c r="E6" s="19">
        <v>41695</v>
      </c>
      <c r="F6">
        <v>59.5</v>
      </c>
      <c r="H6" s="19">
        <v>41695</v>
      </c>
      <c r="I6">
        <v>11.244999999999999</v>
      </c>
      <c r="K6" s="19"/>
      <c r="N6" s="19"/>
    </row>
    <row r="7" spans="2:15" x14ac:dyDescent="0.25">
      <c r="B7" s="19">
        <v>41696</v>
      </c>
      <c r="C7">
        <v>46.555</v>
      </c>
      <c r="E7" s="19">
        <v>41696</v>
      </c>
      <c r="F7">
        <v>59.04</v>
      </c>
      <c r="H7" s="19">
        <v>41696</v>
      </c>
      <c r="I7">
        <v>11.265000000000001</v>
      </c>
      <c r="K7" s="19"/>
      <c r="N7" s="19"/>
    </row>
    <row r="8" spans="2:15" x14ac:dyDescent="0.25">
      <c r="B8" s="19">
        <v>41697</v>
      </c>
      <c r="C8">
        <v>46.34</v>
      </c>
      <c r="E8" s="19">
        <v>41697</v>
      </c>
      <c r="F8">
        <v>59.15</v>
      </c>
      <c r="H8" s="19">
        <v>41697</v>
      </c>
      <c r="I8">
        <v>11.465</v>
      </c>
      <c r="K8" s="19"/>
      <c r="N8" s="19"/>
    </row>
    <row r="9" spans="2:15" x14ac:dyDescent="0.25">
      <c r="B9" s="19">
        <v>41698</v>
      </c>
      <c r="C9">
        <v>47.03</v>
      </c>
      <c r="E9" s="19">
        <v>41698</v>
      </c>
      <c r="F9">
        <v>59.46</v>
      </c>
      <c r="H9" s="19">
        <v>41698</v>
      </c>
      <c r="I9">
        <v>11.52</v>
      </c>
      <c r="K9" s="19"/>
      <c r="N9" s="19"/>
    </row>
    <row r="10" spans="2:15" x14ac:dyDescent="0.25">
      <c r="B10" s="19">
        <v>41701</v>
      </c>
      <c r="C10">
        <v>46.22</v>
      </c>
      <c r="E10" s="19">
        <v>41701</v>
      </c>
      <c r="F10">
        <v>57.27</v>
      </c>
      <c r="H10" s="19">
        <v>41701</v>
      </c>
      <c r="I10">
        <v>11.085000000000001</v>
      </c>
      <c r="K10" s="19"/>
      <c r="N10" s="19"/>
    </row>
    <row r="11" spans="2:15" x14ac:dyDescent="0.25">
      <c r="B11" s="19">
        <v>41702</v>
      </c>
      <c r="C11">
        <v>47.02</v>
      </c>
      <c r="E11" s="19">
        <v>41702</v>
      </c>
      <c r="F11">
        <v>59.09</v>
      </c>
      <c r="H11" s="19">
        <v>41702</v>
      </c>
      <c r="I11">
        <v>11.46</v>
      </c>
      <c r="K11" s="19"/>
      <c r="N11" s="19"/>
    </row>
    <row r="12" spans="2:15" x14ac:dyDescent="0.25">
      <c r="B12" s="19">
        <v>41703</v>
      </c>
      <c r="C12">
        <v>46.924999999999997</v>
      </c>
      <c r="E12" s="19">
        <v>41703</v>
      </c>
      <c r="F12">
        <v>59.36</v>
      </c>
      <c r="H12" s="19">
        <v>41703</v>
      </c>
      <c r="I12">
        <v>11.654999999999999</v>
      </c>
      <c r="K12" s="19"/>
      <c r="N12" s="19"/>
    </row>
    <row r="13" spans="2:15" x14ac:dyDescent="0.25">
      <c r="B13" s="19">
        <v>41704</v>
      </c>
      <c r="C13">
        <v>47.06</v>
      </c>
      <c r="E13" s="19">
        <v>41704</v>
      </c>
      <c r="F13">
        <v>59.5</v>
      </c>
      <c r="H13" s="19">
        <v>41704</v>
      </c>
      <c r="I13">
        <v>11.785</v>
      </c>
      <c r="K13" s="19"/>
      <c r="N13" s="19"/>
    </row>
    <row r="14" spans="2:15" x14ac:dyDescent="0.25">
      <c r="B14" s="19">
        <v>41705</v>
      </c>
      <c r="C14">
        <v>46.14</v>
      </c>
      <c r="E14" s="19">
        <v>41705</v>
      </c>
      <c r="F14">
        <v>58.47</v>
      </c>
      <c r="H14" s="19">
        <v>41705</v>
      </c>
      <c r="I14">
        <v>11.46</v>
      </c>
      <c r="K14" s="19"/>
      <c r="N14" s="19"/>
    </row>
    <row r="15" spans="2:15" x14ac:dyDescent="0.25">
      <c r="B15" s="19">
        <v>41708</v>
      </c>
      <c r="C15">
        <v>46.5</v>
      </c>
      <c r="E15" s="19">
        <v>41708</v>
      </c>
      <c r="F15">
        <v>58.71</v>
      </c>
      <c r="H15" s="19">
        <v>41708</v>
      </c>
      <c r="I15">
        <v>11.57</v>
      </c>
      <c r="K15" s="19"/>
      <c r="N15" s="19"/>
    </row>
    <row r="16" spans="2:15" x14ac:dyDescent="0.25">
      <c r="B16" s="19">
        <v>41709</v>
      </c>
      <c r="C16">
        <v>46.384999999999998</v>
      </c>
      <c r="E16" s="19">
        <v>41709</v>
      </c>
      <c r="F16">
        <v>58.05</v>
      </c>
      <c r="H16" s="19">
        <v>41709</v>
      </c>
      <c r="I16">
        <v>11.645</v>
      </c>
      <c r="K16" s="19"/>
      <c r="N16" s="19"/>
    </row>
    <row r="17" spans="2:14" x14ac:dyDescent="0.25">
      <c r="B17" s="19">
        <v>41710</v>
      </c>
      <c r="C17">
        <v>46.24</v>
      </c>
      <c r="E17" s="19">
        <v>41710</v>
      </c>
      <c r="F17">
        <v>57.46</v>
      </c>
      <c r="H17" s="19">
        <v>41710</v>
      </c>
      <c r="I17">
        <v>11.51</v>
      </c>
      <c r="K17" s="19"/>
      <c r="N17" s="19"/>
    </row>
    <row r="18" spans="2:14" x14ac:dyDescent="0.25">
      <c r="B18" s="19">
        <v>41711</v>
      </c>
      <c r="C18">
        <v>45.715000000000003</v>
      </c>
      <c r="E18" s="19">
        <v>41711</v>
      </c>
      <c r="F18">
        <v>56.44</v>
      </c>
      <c r="H18" s="19">
        <v>41711</v>
      </c>
      <c r="I18">
        <v>11.324999999999999</v>
      </c>
      <c r="K18" s="19"/>
      <c r="N18" s="19"/>
    </row>
    <row r="19" spans="2:14" x14ac:dyDescent="0.25">
      <c r="B19" s="19">
        <v>41712</v>
      </c>
      <c r="C19">
        <v>46</v>
      </c>
      <c r="E19" s="19">
        <v>41712</v>
      </c>
      <c r="F19">
        <v>55.26</v>
      </c>
      <c r="H19" s="19">
        <v>41712</v>
      </c>
      <c r="I19">
        <v>11.065</v>
      </c>
      <c r="K19" s="19"/>
      <c r="N19" s="19"/>
    </row>
    <row r="20" spans="2:14" x14ac:dyDescent="0.25">
      <c r="B20" s="19">
        <v>41715</v>
      </c>
      <c r="C20">
        <v>46.475000000000001</v>
      </c>
      <c r="E20" s="19">
        <v>41715</v>
      </c>
      <c r="F20">
        <v>56.62</v>
      </c>
      <c r="H20" s="19">
        <v>41715</v>
      </c>
      <c r="I20">
        <v>11.335000000000001</v>
      </c>
      <c r="K20" s="19"/>
      <c r="N20" s="19"/>
    </row>
    <row r="21" spans="2:14" x14ac:dyDescent="0.25">
      <c r="B21" s="19">
        <v>41716</v>
      </c>
      <c r="C21">
        <v>47.325000000000003</v>
      </c>
      <c r="E21" s="19">
        <v>41716</v>
      </c>
      <c r="F21">
        <v>57.66</v>
      </c>
      <c r="H21" s="19">
        <v>41716</v>
      </c>
      <c r="I21">
        <v>11.465</v>
      </c>
      <c r="K21" s="19"/>
      <c r="N21" s="19"/>
    </row>
    <row r="22" spans="2:14" x14ac:dyDescent="0.25">
      <c r="B22" s="19">
        <v>41717</v>
      </c>
      <c r="C22">
        <v>47.29</v>
      </c>
      <c r="E22" s="19">
        <v>41717</v>
      </c>
      <c r="F22">
        <v>56.65</v>
      </c>
      <c r="H22" s="19">
        <v>41717</v>
      </c>
      <c r="I22">
        <v>11.68</v>
      </c>
      <c r="K22" s="19"/>
      <c r="N22" s="19"/>
    </row>
    <row r="23" spans="2:14" x14ac:dyDescent="0.25">
      <c r="B23" s="19">
        <v>41718</v>
      </c>
      <c r="C23">
        <v>47.24</v>
      </c>
      <c r="E23" s="19">
        <v>41718</v>
      </c>
      <c r="F23">
        <v>56.88</v>
      </c>
      <c r="H23" s="19">
        <v>41718</v>
      </c>
      <c r="I23">
        <v>11.595000000000001</v>
      </c>
      <c r="K23" s="19"/>
      <c r="N23" s="19"/>
    </row>
    <row r="24" spans="2:14" x14ac:dyDescent="0.25">
      <c r="B24" s="19">
        <v>41719</v>
      </c>
      <c r="C24">
        <v>47.564999999999998</v>
      </c>
      <c r="E24" s="19">
        <v>41719</v>
      </c>
      <c r="F24">
        <v>56.98</v>
      </c>
      <c r="H24" s="19">
        <v>41719</v>
      </c>
      <c r="I24">
        <v>11.215</v>
      </c>
      <c r="K24" s="19"/>
      <c r="N24" s="19"/>
    </row>
    <row r="25" spans="2:14" x14ac:dyDescent="0.25">
      <c r="B25" s="19">
        <v>41722</v>
      </c>
      <c r="C25">
        <v>46.33</v>
      </c>
      <c r="E25" s="19">
        <v>41722</v>
      </c>
      <c r="F25">
        <v>55.94</v>
      </c>
      <c r="H25" s="19">
        <v>41722</v>
      </c>
      <c r="I25">
        <v>11.23</v>
      </c>
      <c r="K25" s="19"/>
      <c r="N25" s="19"/>
    </row>
    <row r="26" spans="2:14" x14ac:dyDescent="0.25">
      <c r="B26" s="19">
        <v>41723</v>
      </c>
      <c r="C26">
        <v>46.8</v>
      </c>
      <c r="E26" s="19">
        <v>41723</v>
      </c>
      <c r="F26">
        <v>56.87</v>
      </c>
      <c r="H26" s="19">
        <v>41723</v>
      </c>
      <c r="I26">
        <v>11.37</v>
      </c>
      <c r="K26" s="19"/>
      <c r="N26" s="19"/>
    </row>
    <row r="27" spans="2:14" x14ac:dyDescent="0.25">
      <c r="B27" s="19">
        <v>41724</v>
      </c>
      <c r="C27">
        <v>47.5</v>
      </c>
      <c r="E27" s="19">
        <v>41724</v>
      </c>
      <c r="F27">
        <v>56.48</v>
      </c>
      <c r="H27" s="19">
        <v>41724</v>
      </c>
      <c r="I27">
        <v>11.355</v>
      </c>
      <c r="K27" s="19"/>
      <c r="N27" s="19"/>
    </row>
    <row r="28" spans="2:14" x14ac:dyDescent="0.25">
      <c r="B28" s="19">
        <v>41725</v>
      </c>
      <c r="C28">
        <v>47.89</v>
      </c>
      <c r="E28" s="19">
        <v>41725</v>
      </c>
      <c r="F28">
        <v>55.68</v>
      </c>
      <c r="H28" s="19">
        <v>41725</v>
      </c>
      <c r="I28">
        <v>11.324999999999999</v>
      </c>
      <c r="K28" s="19"/>
      <c r="N28" s="19"/>
    </row>
    <row r="29" spans="2:14" x14ac:dyDescent="0.25">
      <c r="B29" s="19">
        <v>41726</v>
      </c>
      <c r="C29">
        <v>48.03</v>
      </c>
      <c r="E29" s="19">
        <v>41726</v>
      </c>
      <c r="F29">
        <v>56.1</v>
      </c>
      <c r="H29" s="19">
        <v>41726</v>
      </c>
      <c r="I29">
        <v>11.395</v>
      </c>
      <c r="K29" s="19"/>
      <c r="N29" s="19"/>
    </row>
    <row r="30" spans="2:14" x14ac:dyDescent="0.25">
      <c r="B30" s="19">
        <v>41729</v>
      </c>
      <c r="C30">
        <v>47.6</v>
      </c>
      <c r="E30" s="19">
        <v>41729</v>
      </c>
      <c r="F30">
        <v>55.99</v>
      </c>
      <c r="H30" s="19">
        <v>41729</v>
      </c>
      <c r="I30">
        <v>11.445</v>
      </c>
      <c r="K30" s="19"/>
      <c r="N30" s="19"/>
    </row>
    <row r="31" spans="2:14" x14ac:dyDescent="0.25">
      <c r="B31" s="19">
        <v>41730</v>
      </c>
      <c r="C31">
        <v>47.884999999999998</v>
      </c>
      <c r="E31" s="19">
        <v>41730</v>
      </c>
      <c r="F31">
        <v>57.5</v>
      </c>
      <c r="H31" s="19">
        <v>41730</v>
      </c>
      <c r="I31">
        <v>11.914999999999999</v>
      </c>
      <c r="K31" s="19"/>
      <c r="N31" s="19"/>
    </row>
    <row r="32" spans="2:14" x14ac:dyDescent="0.25">
      <c r="B32" s="19">
        <v>41731</v>
      </c>
      <c r="C32">
        <v>47.84</v>
      </c>
      <c r="E32" s="19">
        <v>41731</v>
      </c>
      <c r="F32">
        <v>57.97</v>
      </c>
      <c r="H32" s="19">
        <v>41731</v>
      </c>
      <c r="I32">
        <v>11.795</v>
      </c>
      <c r="K32" s="19"/>
      <c r="N32" s="19"/>
    </row>
    <row r="33" spans="2:14" x14ac:dyDescent="0.25">
      <c r="B33" s="19">
        <v>41732</v>
      </c>
      <c r="C33">
        <v>48</v>
      </c>
      <c r="E33" s="19">
        <v>41732</v>
      </c>
      <c r="F33">
        <v>58.62</v>
      </c>
      <c r="H33" s="19">
        <v>41732</v>
      </c>
      <c r="I33">
        <v>11.89</v>
      </c>
      <c r="K33" s="19"/>
      <c r="N33" s="19"/>
    </row>
    <row r="34" spans="2:14" x14ac:dyDescent="0.25">
      <c r="B34" s="19">
        <v>41733</v>
      </c>
      <c r="C34">
        <v>48.685000000000002</v>
      </c>
      <c r="E34" s="19">
        <v>41733</v>
      </c>
      <c r="F34">
        <v>59.38</v>
      </c>
      <c r="H34" s="19">
        <v>41733</v>
      </c>
      <c r="I34">
        <v>11.975</v>
      </c>
      <c r="K34" s="19"/>
      <c r="N34" s="19"/>
    </row>
    <row r="35" spans="2:14" x14ac:dyDescent="0.25">
      <c r="B35" s="19">
        <v>41736</v>
      </c>
      <c r="C35">
        <v>47.91</v>
      </c>
      <c r="E35" s="19">
        <v>41736</v>
      </c>
      <c r="F35">
        <v>58.25</v>
      </c>
      <c r="H35" s="19">
        <v>41736</v>
      </c>
      <c r="I35">
        <v>11.734999999999999</v>
      </c>
      <c r="K35" s="19"/>
      <c r="N35" s="19"/>
    </row>
    <row r="36" spans="2:14" x14ac:dyDescent="0.25">
      <c r="B36" s="19">
        <v>41737</v>
      </c>
      <c r="C36">
        <v>48.3</v>
      </c>
      <c r="E36" s="19">
        <v>41737</v>
      </c>
      <c r="F36">
        <v>57.62</v>
      </c>
      <c r="H36" s="19">
        <v>41737</v>
      </c>
      <c r="I36">
        <v>11.44</v>
      </c>
      <c r="K36" s="19"/>
      <c r="N36" s="19"/>
    </row>
    <row r="37" spans="2:14" x14ac:dyDescent="0.25">
      <c r="B37" s="19">
        <v>41738</v>
      </c>
      <c r="C37">
        <v>48.64</v>
      </c>
      <c r="E37" s="19">
        <v>41738</v>
      </c>
      <c r="F37">
        <v>56.9</v>
      </c>
      <c r="H37" s="19">
        <v>41738</v>
      </c>
      <c r="I37">
        <v>11.61</v>
      </c>
      <c r="K37" s="19"/>
      <c r="N37" s="19"/>
    </row>
    <row r="38" spans="2:14" x14ac:dyDescent="0.25">
      <c r="B38" s="19">
        <v>41739</v>
      </c>
      <c r="C38">
        <v>47.89</v>
      </c>
      <c r="E38" s="19">
        <v>41739</v>
      </c>
      <c r="F38">
        <v>56.13</v>
      </c>
      <c r="H38" s="19">
        <v>41739</v>
      </c>
      <c r="I38">
        <v>11.42</v>
      </c>
      <c r="K38" s="19"/>
      <c r="N38" s="19"/>
    </row>
    <row r="39" spans="2:14" x14ac:dyDescent="0.25">
      <c r="B39" s="19">
        <v>41740</v>
      </c>
      <c r="C39">
        <v>47.725000000000001</v>
      </c>
      <c r="E39" s="19">
        <v>41740</v>
      </c>
      <c r="F39">
        <v>55.02</v>
      </c>
      <c r="H39" s="19">
        <v>41740</v>
      </c>
      <c r="I39">
        <v>11.225</v>
      </c>
      <c r="K39" s="19"/>
      <c r="N39" s="19"/>
    </row>
    <row r="40" spans="2:14" x14ac:dyDescent="0.25">
      <c r="B40" s="19">
        <v>41743</v>
      </c>
      <c r="C40">
        <v>49.1</v>
      </c>
      <c r="E40" s="19">
        <v>41743</v>
      </c>
      <c r="F40">
        <v>54.7</v>
      </c>
      <c r="H40" s="19">
        <v>41743</v>
      </c>
      <c r="I40">
        <v>11.06</v>
      </c>
      <c r="K40" s="19"/>
      <c r="N40" s="19"/>
    </row>
    <row r="41" spans="2:14" x14ac:dyDescent="0.25">
      <c r="B41" s="19">
        <v>41744</v>
      </c>
      <c r="C41">
        <v>48.99</v>
      </c>
      <c r="E41" s="19">
        <v>41744</v>
      </c>
      <c r="F41">
        <v>53.55</v>
      </c>
      <c r="H41" s="19">
        <v>41744</v>
      </c>
      <c r="I41">
        <v>10.88</v>
      </c>
      <c r="K41" s="19"/>
      <c r="N41" s="19"/>
    </row>
    <row r="42" spans="2:14" x14ac:dyDescent="0.25">
      <c r="B42" s="19">
        <v>41745</v>
      </c>
      <c r="C42">
        <v>49</v>
      </c>
      <c r="E42" s="19">
        <v>41745</v>
      </c>
      <c r="F42">
        <v>54.27</v>
      </c>
      <c r="H42" s="19">
        <v>41745</v>
      </c>
      <c r="I42">
        <v>11.164999999999999</v>
      </c>
      <c r="K42" s="19"/>
      <c r="N42" s="19"/>
    </row>
    <row r="43" spans="2:14" x14ac:dyDescent="0.25">
      <c r="B43" s="19">
        <v>41746</v>
      </c>
      <c r="C43">
        <v>49.28</v>
      </c>
      <c r="E43" s="19">
        <v>41746</v>
      </c>
      <c r="F43">
        <v>54.49</v>
      </c>
      <c r="H43" s="19">
        <v>41746</v>
      </c>
      <c r="I43">
        <v>11.375</v>
      </c>
      <c r="K43" s="19"/>
      <c r="N43" s="19"/>
    </row>
    <row r="44" spans="2:14" x14ac:dyDescent="0.25">
      <c r="B44" s="19">
        <v>41751</v>
      </c>
      <c r="C44">
        <v>49.744999999999997</v>
      </c>
      <c r="E44" s="19">
        <v>41751</v>
      </c>
      <c r="F44">
        <v>55.67</v>
      </c>
      <c r="H44" s="19">
        <v>41751</v>
      </c>
      <c r="I44">
        <v>11.56</v>
      </c>
      <c r="K44" s="19"/>
      <c r="N44" s="19"/>
    </row>
    <row r="45" spans="2:14" x14ac:dyDescent="0.25">
      <c r="B45" s="19">
        <v>41752</v>
      </c>
      <c r="C45">
        <v>49.174999999999997</v>
      </c>
      <c r="E45" s="19">
        <v>41752</v>
      </c>
      <c r="F45">
        <v>54.96</v>
      </c>
      <c r="H45" s="19">
        <v>41752</v>
      </c>
      <c r="I45">
        <v>11.465</v>
      </c>
      <c r="K45" s="19"/>
      <c r="N45" s="19"/>
    </row>
    <row r="46" spans="2:14" x14ac:dyDescent="0.25">
      <c r="B46" s="19">
        <v>41753</v>
      </c>
      <c r="C46">
        <v>49.945</v>
      </c>
      <c r="E46" s="19">
        <v>41753</v>
      </c>
      <c r="F46">
        <v>55.78</v>
      </c>
      <c r="H46" s="19">
        <v>41753</v>
      </c>
      <c r="I46">
        <v>11.55</v>
      </c>
      <c r="K46" s="19"/>
      <c r="N46" s="19"/>
    </row>
    <row r="47" spans="2:14" x14ac:dyDescent="0.25">
      <c r="B47" s="19">
        <v>41754</v>
      </c>
      <c r="C47">
        <v>49.634999999999998</v>
      </c>
      <c r="E47" s="19">
        <v>41754</v>
      </c>
      <c r="F47">
        <v>55.08</v>
      </c>
      <c r="H47" s="19">
        <v>41754</v>
      </c>
      <c r="I47">
        <v>11.355</v>
      </c>
      <c r="K47" s="19"/>
      <c r="N47" s="19"/>
    </row>
    <row r="48" spans="2:14" x14ac:dyDescent="0.25">
      <c r="B48" s="19">
        <v>41757</v>
      </c>
      <c r="C48">
        <v>50.3</v>
      </c>
      <c r="E48" s="19">
        <v>41757</v>
      </c>
      <c r="F48">
        <v>55.07</v>
      </c>
      <c r="H48" s="19">
        <v>41757</v>
      </c>
      <c r="I48">
        <v>11.295</v>
      </c>
      <c r="K48" s="19"/>
      <c r="N48" s="19"/>
    </row>
    <row r="49" spans="2:14" x14ac:dyDescent="0.25">
      <c r="B49" s="19">
        <v>41758</v>
      </c>
      <c r="C49">
        <v>51.49</v>
      </c>
      <c r="E49" s="19">
        <v>41758</v>
      </c>
      <c r="F49">
        <v>55.9</v>
      </c>
      <c r="H49" s="19">
        <v>41758</v>
      </c>
      <c r="I49">
        <v>11.465</v>
      </c>
      <c r="K49" s="19"/>
      <c r="N49" s="19"/>
    </row>
    <row r="50" spans="2:14" x14ac:dyDescent="0.25">
      <c r="B50" s="19">
        <v>41759</v>
      </c>
      <c r="C50">
        <v>51.48</v>
      </c>
      <c r="E50" s="19">
        <v>41759</v>
      </c>
      <c r="F50">
        <v>54.11</v>
      </c>
      <c r="H50" s="19">
        <v>41759</v>
      </c>
      <c r="I50">
        <v>11.355</v>
      </c>
      <c r="K50" s="19"/>
      <c r="N50" s="19"/>
    </row>
    <row r="51" spans="2:14" x14ac:dyDescent="0.25">
      <c r="B51" s="19">
        <v>41761</v>
      </c>
      <c r="C51">
        <v>50.85</v>
      </c>
      <c r="E51" s="19">
        <v>41761</v>
      </c>
      <c r="F51">
        <v>52.48</v>
      </c>
      <c r="H51" s="19">
        <v>41761</v>
      </c>
      <c r="I51">
        <v>11.375</v>
      </c>
      <c r="K51" s="19"/>
      <c r="N51" s="19"/>
    </row>
    <row r="52" spans="2:14" x14ac:dyDescent="0.25">
      <c r="B52" s="19">
        <v>41764</v>
      </c>
      <c r="C52">
        <v>51.14</v>
      </c>
      <c r="E52" s="19">
        <v>41764</v>
      </c>
      <c r="F52">
        <v>52.46</v>
      </c>
      <c r="H52" s="19">
        <v>41764</v>
      </c>
      <c r="I52">
        <v>11.244999999999999</v>
      </c>
      <c r="K52" s="19"/>
      <c r="N52" s="19"/>
    </row>
    <row r="53" spans="2:14" x14ac:dyDescent="0.25">
      <c r="B53" s="19">
        <v>41765</v>
      </c>
      <c r="C53">
        <v>50.72</v>
      </c>
      <c r="E53" s="19">
        <v>41765</v>
      </c>
      <c r="F53">
        <v>51.8</v>
      </c>
      <c r="H53" s="19">
        <v>41765</v>
      </c>
      <c r="I53">
        <v>11.105</v>
      </c>
      <c r="K53" s="19"/>
      <c r="N53" s="19"/>
    </row>
    <row r="54" spans="2:14" x14ac:dyDescent="0.25">
      <c r="B54" s="19">
        <v>41766</v>
      </c>
      <c r="C54">
        <v>51.7</v>
      </c>
      <c r="E54" s="19">
        <v>41766</v>
      </c>
      <c r="F54">
        <v>52.52</v>
      </c>
      <c r="H54" s="19">
        <v>41766</v>
      </c>
      <c r="I54">
        <v>11.86</v>
      </c>
      <c r="K54" s="19"/>
      <c r="N54" s="19"/>
    </row>
    <row r="55" spans="2:14" x14ac:dyDescent="0.25">
      <c r="B55" s="19">
        <v>41767</v>
      </c>
      <c r="C55">
        <v>53.08</v>
      </c>
      <c r="E55" s="19">
        <v>41767</v>
      </c>
      <c r="F55">
        <v>53.53</v>
      </c>
      <c r="H55" s="19">
        <v>41767</v>
      </c>
      <c r="I55">
        <v>12.045</v>
      </c>
      <c r="K55" s="19"/>
      <c r="N55" s="19"/>
    </row>
    <row r="56" spans="2:14" x14ac:dyDescent="0.25">
      <c r="B56" s="19">
        <v>41768</v>
      </c>
      <c r="C56">
        <v>52.26</v>
      </c>
      <c r="E56" s="19">
        <v>41768</v>
      </c>
      <c r="F56">
        <v>52.98</v>
      </c>
      <c r="H56" s="19">
        <v>41768</v>
      </c>
      <c r="I56">
        <v>11.83</v>
      </c>
      <c r="K56" s="19"/>
      <c r="N56" s="19"/>
    </row>
    <row r="57" spans="2:14" x14ac:dyDescent="0.25">
      <c r="B57" s="19">
        <v>41771</v>
      </c>
      <c r="C57">
        <v>52.36</v>
      </c>
      <c r="E57" s="19">
        <v>41771</v>
      </c>
      <c r="F57">
        <v>53.29</v>
      </c>
      <c r="H57" s="19">
        <v>41771</v>
      </c>
      <c r="I57">
        <v>11.9</v>
      </c>
      <c r="K57" s="19"/>
      <c r="N57" s="19"/>
    </row>
    <row r="58" spans="2:14" x14ac:dyDescent="0.25">
      <c r="B58" s="19">
        <v>41772</v>
      </c>
      <c r="C58">
        <v>51.77</v>
      </c>
      <c r="E58" s="19">
        <v>41772</v>
      </c>
      <c r="F58">
        <v>53.06</v>
      </c>
      <c r="H58" s="19">
        <v>41772</v>
      </c>
      <c r="I58">
        <v>11.885</v>
      </c>
      <c r="K58" s="19"/>
      <c r="N58" s="19"/>
    </row>
    <row r="59" spans="2:14" x14ac:dyDescent="0.25">
      <c r="B59" s="19">
        <v>41773</v>
      </c>
      <c r="C59">
        <v>51.91</v>
      </c>
      <c r="E59" s="19">
        <v>41773</v>
      </c>
      <c r="F59">
        <v>52.88</v>
      </c>
      <c r="H59" s="19">
        <v>41773</v>
      </c>
      <c r="I59">
        <v>11.635</v>
      </c>
      <c r="K59" s="19"/>
      <c r="N59" s="19"/>
    </row>
    <row r="60" spans="2:14" x14ac:dyDescent="0.25">
      <c r="B60" s="19">
        <v>41774</v>
      </c>
      <c r="C60">
        <v>51.09</v>
      </c>
      <c r="E60" s="19">
        <v>41774</v>
      </c>
      <c r="F60">
        <v>52.17</v>
      </c>
      <c r="H60" s="19">
        <v>41774</v>
      </c>
      <c r="I60">
        <v>11.15</v>
      </c>
      <c r="K60" s="19"/>
      <c r="N60" s="19"/>
    </row>
    <row r="61" spans="2:14" x14ac:dyDescent="0.25">
      <c r="B61" s="19">
        <v>41775</v>
      </c>
      <c r="C61">
        <v>52.01</v>
      </c>
      <c r="E61" s="19">
        <v>41775</v>
      </c>
      <c r="F61">
        <v>52.49</v>
      </c>
      <c r="H61" s="19">
        <v>41775</v>
      </c>
      <c r="I61">
        <v>11.275</v>
      </c>
      <c r="K61" s="19"/>
      <c r="N61" s="19"/>
    </row>
    <row r="62" spans="2:14" x14ac:dyDescent="0.25">
      <c r="B62" s="19">
        <v>41778</v>
      </c>
      <c r="C62">
        <v>52.15</v>
      </c>
      <c r="E62" s="19">
        <v>41778</v>
      </c>
      <c r="F62">
        <v>52.2</v>
      </c>
      <c r="H62" s="19">
        <v>41778</v>
      </c>
      <c r="I62">
        <v>11.095000000000001</v>
      </c>
      <c r="K62" s="19"/>
      <c r="N62" s="19"/>
    </row>
    <row r="63" spans="2:14" x14ac:dyDescent="0.25">
      <c r="B63" s="19">
        <v>41779</v>
      </c>
      <c r="C63">
        <v>51.44</v>
      </c>
      <c r="E63" s="19">
        <v>41779</v>
      </c>
      <c r="F63">
        <v>51.68</v>
      </c>
      <c r="H63" s="19">
        <v>41779</v>
      </c>
      <c r="I63">
        <v>11.01</v>
      </c>
      <c r="K63" s="19"/>
      <c r="N63" s="19"/>
    </row>
    <row r="64" spans="2:14" x14ac:dyDescent="0.25">
      <c r="B64" s="19">
        <v>41780</v>
      </c>
      <c r="C64">
        <v>52.13</v>
      </c>
      <c r="E64" s="19">
        <v>41780</v>
      </c>
      <c r="F64">
        <v>51</v>
      </c>
      <c r="H64" s="19">
        <v>41780</v>
      </c>
      <c r="I64">
        <v>11.24</v>
      </c>
      <c r="K64" s="19"/>
      <c r="N64" s="19"/>
    </row>
    <row r="65" spans="2:14" x14ac:dyDescent="0.25">
      <c r="B65" s="19">
        <v>41781</v>
      </c>
      <c r="C65">
        <v>52.05</v>
      </c>
      <c r="E65" s="19">
        <v>41781</v>
      </c>
      <c r="F65">
        <v>51.66</v>
      </c>
      <c r="H65" s="19">
        <v>41781</v>
      </c>
      <c r="I65">
        <v>11.26</v>
      </c>
      <c r="K65" s="19"/>
      <c r="N65" s="19"/>
    </row>
    <row r="66" spans="2:14" x14ac:dyDescent="0.25">
      <c r="B66" s="19">
        <v>41782</v>
      </c>
      <c r="C66">
        <v>52.29</v>
      </c>
      <c r="E66" s="19">
        <v>41782</v>
      </c>
      <c r="F66">
        <v>52.22</v>
      </c>
      <c r="H66" s="19">
        <v>41782</v>
      </c>
      <c r="I66">
        <v>11.56</v>
      </c>
      <c r="K66" s="19"/>
      <c r="N66" s="19"/>
    </row>
    <row r="67" spans="2:14" x14ac:dyDescent="0.25">
      <c r="B67" s="19">
        <v>41785</v>
      </c>
      <c r="C67">
        <v>52.65</v>
      </c>
      <c r="E67" s="19">
        <v>41785</v>
      </c>
      <c r="F67">
        <v>52.49</v>
      </c>
      <c r="H67" s="19">
        <v>41785</v>
      </c>
      <c r="I67">
        <v>11.67</v>
      </c>
      <c r="K67" s="19"/>
      <c r="N67" s="19"/>
    </row>
    <row r="68" spans="2:14" x14ac:dyDescent="0.25">
      <c r="B68" s="19">
        <v>41786</v>
      </c>
      <c r="C68">
        <v>52.18</v>
      </c>
      <c r="E68" s="19">
        <v>41786</v>
      </c>
      <c r="F68">
        <v>52.59</v>
      </c>
      <c r="H68" s="19">
        <v>41786</v>
      </c>
      <c r="I68">
        <v>11.76</v>
      </c>
      <c r="K68" s="19"/>
      <c r="N68" s="19"/>
    </row>
    <row r="69" spans="2:14" x14ac:dyDescent="0.25">
      <c r="B69" s="19">
        <v>41787</v>
      </c>
      <c r="C69">
        <v>51.8</v>
      </c>
      <c r="E69" s="19">
        <v>41787</v>
      </c>
      <c r="F69">
        <v>53.06</v>
      </c>
      <c r="H69" s="19">
        <v>41787</v>
      </c>
      <c r="I69">
        <v>11.95</v>
      </c>
      <c r="K69" s="19"/>
      <c r="N69" s="19"/>
    </row>
    <row r="70" spans="2:14" x14ac:dyDescent="0.25">
      <c r="B70" s="19">
        <v>41788</v>
      </c>
      <c r="C70">
        <v>51.72</v>
      </c>
      <c r="E70" s="19">
        <v>41788</v>
      </c>
      <c r="F70">
        <v>52.65</v>
      </c>
      <c r="H70" s="19">
        <v>41788</v>
      </c>
      <c r="I70">
        <v>11.89</v>
      </c>
      <c r="K70" s="19"/>
      <c r="N70" s="19"/>
    </row>
    <row r="71" spans="2:14" x14ac:dyDescent="0.25">
      <c r="B71" s="19">
        <v>41789</v>
      </c>
      <c r="C71">
        <v>51.48</v>
      </c>
      <c r="E71" s="19">
        <v>41789</v>
      </c>
      <c r="F71">
        <v>51.37</v>
      </c>
      <c r="H71" s="19">
        <v>41789</v>
      </c>
      <c r="I71">
        <v>11.445</v>
      </c>
      <c r="K71" s="19"/>
      <c r="N71" s="19"/>
    </row>
    <row r="72" spans="2:14" x14ac:dyDescent="0.25">
      <c r="B72" s="19">
        <v>41792</v>
      </c>
      <c r="C72">
        <v>51.47</v>
      </c>
      <c r="E72" s="19">
        <v>41792</v>
      </c>
      <c r="F72">
        <v>51.08</v>
      </c>
      <c r="H72" s="19">
        <v>41792</v>
      </c>
      <c r="I72">
        <v>11.385</v>
      </c>
      <c r="K72" s="19"/>
      <c r="N72" s="19"/>
    </row>
    <row r="73" spans="2:14" x14ac:dyDescent="0.25">
      <c r="B73" s="19">
        <v>41793</v>
      </c>
      <c r="C73">
        <v>51.26</v>
      </c>
      <c r="E73" s="19">
        <v>41793</v>
      </c>
      <c r="F73">
        <v>50.91</v>
      </c>
      <c r="H73" s="19">
        <v>41793</v>
      </c>
      <c r="I73">
        <v>11.39</v>
      </c>
      <c r="K73" s="19"/>
      <c r="N73" s="19"/>
    </row>
    <row r="74" spans="2:14" x14ac:dyDescent="0.25">
      <c r="B74" s="19">
        <v>41794</v>
      </c>
      <c r="C74">
        <v>50.58</v>
      </c>
      <c r="E74" s="19">
        <v>41794</v>
      </c>
      <c r="F74">
        <v>51.5</v>
      </c>
      <c r="H74" s="19">
        <v>41794</v>
      </c>
      <c r="I74">
        <v>11.55</v>
      </c>
      <c r="K74" s="19"/>
      <c r="N74" s="19"/>
    </row>
    <row r="75" spans="2:14" x14ac:dyDescent="0.25">
      <c r="B75" s="19">
        <v>41795</v>
      </c>
      <c r="C75">
        <v>51.43</v>
      </c>
      <c r="E75" s="19">
        <v>41795</v>
      </c>
      <c r="F75">
        <v>51.48</v>
      </c>
      <c r="H75" s="19">
        <v>41795</v>
      </c>
      <c r="I75">
        <v>11.654999999999999</v>
      </c>
      <c r="K75" s="19"/>
      <c r="N75" s="19"/>
    </row>
    <row r="76" spans="2:14" x14ac:dyDescent="0.25">
      <c r="B76" s="19">
        <v>41796</v>
      </c>
      <c r="C76">
        <v>51.93</v>
      </c>
      <c r="E76" s="19">
        <v>41796</v>
      </c>
      <c r="F76">
        <v>51.91</v>
      </c>
      <c r="H76" s="19">
        <v>41796</v>
      </c>
      <c r="I76">
        <v>11.914999999999999</v>
      </c>
      <c r="K76" s="19"/>
      <c r="N76" s="19"/>
    </row>
    <row r="77" spans="2:14" x14ac:dyDescent="0.25">
      <c r="B77" s="19">
        <v>41799</v>
      </c>
      <c r="C77">
        <v>52.04</v>
      </c>
      <c r="E77" s="19">
        <v>41799</v>
      </c>
      <c r="F77">
        <v>52.32</v>
      </c>
      <c r="H77" s="19">
        <v>41799</v>
      </c>
      <c r="I77">
        <v>11.95</v>
      </c>
      <c r="K77" s="19"/>
      <c r="N77" s="19"/>
    </row>
    <row r="78" spans="2:14" x14ac:dyDescent="0.25">
      <c r="B78" s="19">
        <v>41800</v>
      </c>
      <c r="C78">
        <v>51.92</v>
      </c>
      <c r="E78" s="19">
        <v>41800</v>
      </c>
      <c r="F78">
        <v>52.15</v>
      </c>
      <c r="H78" s="19">
        <v>41800</v>
      </c>
      <c r="I78">
        <v>11.88</v>
      </c>
      <c r="K78" s="19"/>
      <c r="N78" s="19"/>
    </row>
    <row r="79" spans="2:14" x14ac:dyDescent="0.25">
      <c r="B79" s="19">
        <v>41801</v>
      </c>
      <c r="C79">
        <v>51.72</v>
      </c>
      <c r="E79" s="19">
        <v>41801</v>
      </c>
      <c r="F79">
        <v>51.34</v>
      </c>
      <c r="H79" s="19">
        <v>41801</v>
      </c>
      <c r="I79">
        <v>11.685</v>
      </c>
      <c r="K79" s="19"/>
      <c r="N79" s="19"/>
    </row>
    <row r="80" spans="2:14" x14ac:dyDescent="0.25">
      <c r="B80" s="19">
        <v>41802</v>
      </c>
      <c r="C80">
        <v>52.39</v>
      </c>
      <c r="E80" s="19">
        <v>41802</v>
      </c>
      <c r="F80">
        <v>51.46</v>
      </c>
      <c r="H80" s="19">
        <v>41802</v>
      </c>
      <c r="I80">
        <v>11.72</v>
      </c>
      <c r="K80" s="19"/>
      <c r="N80" s="19"/>
    </row>
    <row r="81" spans="2:14" x14ac:dyDescent="0.25">
      <c r="B81" s="19">
        <v>41803</v>
      </c>
      <c r="C81">
        <v>52.86</v>
      </c>
      <c r="E81" s="19">
        <v>41803</v>
      </c>
      <c r="F81">
        <v>51.5</v>
      </c>
      <c r="H81" s="19">
        <v>41803</v>
      </c>
      <c r="I81">
        <v>11.715</v>
      </c>
      <c r="K81" s="19"/>
      <c r="N81" s="19"/>
    </row>
    <row r="82" spans="2:14" x14ac:dyDescent="0.25">
      <c r="B82" s="19">
        <v>41806</v>
      </c>
      <c r="C82">
        <v>52.42</v>
      </c>
      <c r="E82" s="19">
        <v>41806</v>
      </c>
      <c r="F82">
        <v>51.58</v>
      </c>
      <c r="H82" s="19">
        <v>41806</v>
      </c>
      <c r="I82">
        <v>11.455</v>
      </c>
      <c r="K82" s="19"/>
      <c r="N82" s="19"/>
    </row>
    <row r="83" spans="2:14" x14ac:dyDescent="0.25">
      <c r="B83" s="19">
        <v>41807</v>
      </c>
      <c r="C83">
        <v>52.47</v>
      </c>
      <c r="E83" s="19">
        <v>41807</v>
      </c>
      <c r="F83">
        <v>52.21</v>
      </c>
      <c r="H83" s="19">
        <v>41807</v>
      </c>
      <c r="I83">
        <v>11.404999999999999</v>
      </c>
      <c r="K83" s="19"/>
      <c r="N83" s="19"/>
    </row>
    <row r="84" spans="2:14" x14ac:dyDescent="0.25">
      <c r="B84" s="19">
        <v>41808</v>
      </c>
      <c r="C84">
        <v>52.85</v>
      </c>
      <c r="E84" s="19">
        <v>41808</v>
      </c>
      <c r="F84">
        <v>51.99</v>
      </c>
      <c r="H84" s="19">
        <v>41808</v>
      </c>
      <c r="I84">
        <v>11.324999999999999</v>
      </c>
      <c r="K84" s="19"/>
      <c r="N84" s="19"/>
    </row>
    <row r="85" spans="2:14" x14ac:dyDescent="0.25">
      <c r="B85" s="19">
        <v>41809</v>
      </c>
      <c r="C85">
        <v>53.68</v>
      </c>
      <c r="E85" s="19">
        <v>41809</v>
      </c>
      <c r="F85">
        <v>52.19</v>
      </c>
      <c r="H85" s="19">
        <v>41809</v>
      </c>
      <c r="I85">
        <v>11.35</v>
      </c>
      <c r="K85" s="19"/>
      <c r="N85" s="19"/>
    </row>
    <row r="86" spans="2:14" x14ac:dyDescent="0.25">
      <c r="B86" s="19">
        <v>41810</v>
      </c>
      <c r="C86">
        <v>53.95</v>
      </c>
      <c r="E86" s="19">
        <v>41810</v>
      </c>
      <c r="F86">
        <v>51.19</v>
      </c>
      <c r="H86" s="19">
        <v>41810</v>
      </c>
      <c r="I86">
        <v>11.145</v>
      </c>
      <c r="K86" s="19"/>
      <c r="N86" s="19"/>
    </row>
    <row r="87" spans="2:14" x14ac:dyDescent="0.25">
      <c r="B87" s="19">
        <v>41813</v>
      </c>
      <c r="C87">
        <v>54.23</v>
      </c>
      <c r="E87" s="19">
        <v>41813</v>
      </c>
      <c r="F87">
        <v>50.96</v>
      </c>
      <c r="H87" s="19">
        <v>41813</v>
      </c>
      <c r="I87">
        <v>11.025</v>
      </c>
      <c r="K87" s="19"/>
      <c r="N87" s="19"/>
    </row>
    <row r="88" spans="2:14" x14ac:dyDescent="0.25">
      <c r="B88" s="19">
        <v>41814</v>
      </c>
      <c r="C88">
        <v>54.52</v>
      </c>
      <c r="E88" s="19">
        <v>41814</v>
      </c>
      <c r="F88">
        <v>50.6</v>
      </c>
      <c r="H88" s="19">
        <v>41814</v>
      </c>
      <c r="I88">
        <v>10.92</v>
      </c>
      <c r="K88" s="19"/>
      <c r="N88" s="19"/>
    </row>
    <row r="89" spans="2:14" x14ac:dyDescent="0.25">
      <c r="B89" s="19">
        <v>41815</v>
      </c>
      <c r="C89">
        <v>53.47</v>
      </c>
      <c r="E89" s="19">
        <v>41815</v>
      </c>
      <c r="F89">
        <v>49.73</v>
      </c>
      <c r="H89" s="19">
        <v>41815</v>
      </c>
      <c r="I89">
        <v>10.71</v>
      </c>
      <c r="K89" s="19"/>
      <c r="N89" s="19"/>
    </row>
    <row r="90" spans="2:14" x14ac:dyDescent="0.25">
      <c r="B90" s="19">
        <v>41816</v>
      </c>
      <c r="C90">
        <v>52.93</v>
      </c>
      <c r="E90" s="19">
        <v>41816</v>
      </c>
      <c r="F90">
        <v>49.134999999999998</v>
      </c>
      <c r="H90" s="19">
        <v>41816</v>
      </c>
      <c r="I90">
        <v>10.595000000000001</v>
      </c>
      <c r="K90" s="19"/>
      <c r="N90" s="19"/>
    </row>
    <row r="91" spans="2:14" x14ac:dyDescent="0.25">
      <c r="B91" s="19">
        <v>41817</v>
      </c>
      <c r="C91">
        <v>52.72</v>
      </c>
      <c r="E91" s="19">
        <v>41817</v>
      </c>
      <c r="F91">
        <v>49.41</v>
      </c>
      <c r="H91" s="19">
        <v>41817</v>
      </c>
      <c r="I91">
        <v>10.6</v>
      </c>
      <c r="K91" s="19"/>
      <c r="N91" s="19"/>
    </row>
    <row r="92" spans="2:14" x14ac:dyDescent="0.25">
      <c r="B92" s="19">
        <v>41820</v>
      </c>
      <c r="C92">
        <v>52.78</v>
      </c>
      <c r="E92" s="19">
        <v>41820</v>
      </c>
      <c r="F92">
        <v>49.545000000000002</v>
      </c>
      <c r="H92" s="19">
        <v>41820</v>
      </c>
      <c r="I92">
        <v>10.3</v>
      </c>
      <c r="K92" s="19"/>
      <c r="N92" s="19"/>
    </row>
    <row r="93" spans="2:14" x14ac:dyDescent="0.25">
      <c r="B93" s="19">
        <v>41821</v>
      </c>
      <c r="C93">
        <v>53.29</v>
      </c>
      <c r="E93" s="19">
        <v>41821</v>
      </c>
      <c r="F93">
        <v>51.33</v>
      </c>
      <c r="H93" s="19">
        <v>41821</v>
      </c>
      <c r="I93">
        <v>10.605</v>
      </c>
      <c r="K93" s="19"/>
      <c r="N93" s="19"/>
    </row>
    <row r="94" spans="2:14" x14ac:dyDescent="0.25">
      <c r="B94" s="19">
        <v>41822</v>
      </c>
      <c r="C94">
        <v>53</v>
      </c>
      <c r="E94" s="19">
        <v>41822</v>
      </c>
      <c r="F94">
        <v>51.01</v>
      </c>
      <c r="H94" s="19">
        <v>41822</v>
      </c>
      <c r="I94">
        <v>10.56</v>
      </c>
      <c r="K94" s="19"/>
      <c r="N94" s="19"/>
    </row>
    <row r="95" spans="2:14" x14ac:dyDescent="0.25">
      <c r="B95" s="19">
        <v>41823</v>
      </c>
      <c r="C95">
        <v>53.06</v>
      </c>
      <c r="E95" s="19">
        <v>41823</v>
      </c>
      <c r="F95">
        <v>51.25</v>
      </c>
      <c r="H95" s="19">
        <v>41823</v>
      </c>
      <c r="I95">
        <v>10.705</v>
      </c>
      <c r="K95" s="19"/>
      <c r="N95" s="19"/>
    </row>
    <row r="96" spans="2:14" x14ac:dyDescent="0.25">
      <c r="B96" s="19">
        <v>41824</v>
      </c>
      <c r="C96">
        <v>53.08</v>
      </c>
      <c r="E96" s="19">
        <v>41824</v>
      </c>
      <c r="F96">
        <v>50.2</v>
      </c>
      <c r="H96" s="19">
        <v>41824</v>
      </c>
      <c r="I96">
        <v>10.64</v>
      </c>
      <c r="K96" s="19"/>
      <c r="N96" s="19"/>
    </row>
    <row r="97" spans="2:14" x14ac:dyDescent="0.25">
      <c r="B97" s="19">
        <v>41827</v>
      </c>
      <c r="C97">
        <v>52.03</v>
      </c>
      <c r="E97" s="19">
        <v>41827</v>
      </c>
      <c r="F97">
        <v>49.615000000000002</v>
      </c>
      <c r="H97" s="19">
        <v>41827</v>
      </c>
      <c r="I97">
        <v>10.435</v>
      </c>
      <c r="K97" s="19"/>
      <c r="N97" s="19"/>
    </row>
    <row r="98" spans="2:14" x14ac:dyDescent="0.25">
      <c r="B98" s="19">
        <v>41828</v>
      </c>
      <c r="C98">
        <v>51.42</v>
      </c>
      <c r="E98" s="19">
        <v>41828</v>
      </c>
      <c r="F98">
        <v>48.56</v>
      </c>
      <c r="H98" s="19">
        <v>41828</v>
      </c>
      <c r="I98">
        <v>10.17</v>
      </c>
      <c r="K98" s="19"/>
      <c r="N98" s="19"/>
    </row>
    <row r="99" spans="2:14" x14ac:dyDescent="0.25">
      <c r="B99" s="19">
        <v>41829</v>
      </c>
      <c r="C99">
        <v>51.54</v>
      </c>
      <c r="E99" s="19">
        <v>41829</v>
      </c>
      <c r="F99">
        <v>48.365000000000002</v>
      </c>
      <c r="H99" s="19">
        <v>41829</v>
      </c>
      <c r="I99">
        <v>10.210000000000001</v>
      </c>
      <c r="K99" s="19"/>
      <c r="N99" s="19"/>
    </row>
    <row r="100" spans="2:14" x14ac:dyDescent="0.25">
      <c r="B100" s="19">
        <v>41830</v>
      </c>
      <c r="C100">
        <v>50.59</v>
      </c>
      <c r="E100" s="19">
        <v>41830</v>
      </c>
      <c r="F100">
        <v>47.69</v>
      </c>
      <c r="H100" s="19">
        <v>41830</v>
      </c>
      <c r="I100">
        <v>10</v>
      </c>
      <c r="K100" s="19"/>
      <c r="N100" s="19"/>
    </row>
    <row r="101" spans="2:14" x14ac:dyDescent="0.25">
      <c r="B101" s="19">
        <v>41831</v>
      </c>
      <c r="C101">
        <v>50.77</v>
      </c>
      <c r="E101" s="19">
        <v>41831</v>
      </c>
      <c r="F101">
        <v>48.36</v>
      </c>
      <c r="H101" s="19">
        <v>41831</v>
      </c>
      <c r="I101">
        <v>9.8979999999999997</v>
      </c>
      <c r="K101" s="19"/>
      <c r="N101" s="19"/>
    </row>
    <row r="102" spans="2:14" x14ac:dyDescent="0.25">
      <c r="B102" s="19">
        <v>41834</v>
      </c>
      <c r="C102">
        <v>51.11</v>
      </c>
      <c r="E102" s="19">
        <v>41834</v>
      </c>
      <c r="F102">
        <v>48.774999999999999</v>
      </c>
      <c r="H102" s="19">
        <v>41834</v>
      </c>
      <c r="I102">
        <v>10.02</v>
      </c>
      <c r="K102" s="19"/>
      <c r="N102" s="19"/>
    </row>
    <row r="103" spans="2:14" x14ac:dyDescent="0.25">
      <c r="B103" s="19">
        <v>41835</v>
      </c>
      <c r="C103">
        <v>50.06</v>
      </c>
      <c r="E103" s="19">
        <v>41835</v>
      </c>
      <c r="F103">
        <v>48.225000000000001</v>
      </c>
      <c r="H103" s="19">
        <v>41835</v>
      </c>
      <c r="I103">
        <v>9.9149999999999991</v>
      </c>
      <c r="K103" s="19"/>
      <c r="N103" s="19"/>
    </row>
    <row r="104" spans="2:14" x14ac:dyDescent="0.25">
      <c r="B104" s="19">
        <v>41836</v>
      </c>
      <c r="C104">
        <v>50.89</v>
      </c>
      <c r="E104" s="19">
        <v>41836</v>
      </c>
      <c r="F104">
        <v>49.185000000000002</v>
      </c>
      <c r="H104" s="19">
        <v>41836</v>
      </c>
      <c r="I104">
        <v>10.39</v>
      </c>
      <c r="K104" s="19"/>
      <c r="N104" s="19"/>
    </row>
    <row r="105" spans="2:14" x14ac:dyDescent="0.25">
      <c r="B105" s="19">
        <v>41837</v>
      </c>
      <c r="C105">
        <v>49.73</v>
      </c>
      <c r="E105" s="19">
        <v>41837</v>
      </c>
      <c r="F105">
        <v>48.61</v>
      </c>
      <c r="H105" s="19">
        <v>41837</v>
      </c>
      <c r="I105">
        <v>10.17</v>
      </c>
      <c r="K105" s="19"/>
      <c r="N105" s="19"/>
    </row>
    <row r="106" spans="2:14" x14ac:dyDescent="0.25">
      <c r="B106" s="19">
        <v>41838</v>
      </c>
      <c r="C106">
        <v>50.25</v>
      </c>
      <c r="E106" s="19">
        <v>41838</v>
      </c>
      <c r="F106">
        <v>48.924999999999997</v>
      </c>
      <c r="H106" s="19">
        <v>41838</v>
      </c>
      <c r="I106">
        <v>10.275</v>
      </c>
      <c r="K106" s="19"/>
      <c r="N106" s="19"/>
    </row>
    <row r="107" spans="2:14" x14ac:dyDescent="0.25">
      <c r="B107" s="19">
        <v>41841</v>
      </c>
      <c r="C107">
        <v>49.79</v>
      </c>
      <c r="E107" s="19">
        <v>41841</v>
      </c>
      <c r="F107">
        <v>48.65</v>
      </c>
      <c r="H107" s="19">
        <v>41841</v>
      </c>
      <c r="I107">
        <v>10.085000000000001</v>
      </c>
      <c r="K107" s="19"/>
      <c r="N107" s="19"/>
    </row>
    <row r="108" spans="2:14" x14ac:dyDescent="0.25">
      <c r="B108" s="19">
        <v>41842</v>
      </c>
      <c r="C108">
        <v>51.35</v>
      </c>
      <c r="E108" s="19">
        <v>41842</v>
      </c>
      <c r="F108">
        <v>48.755000000000003</v>
      </c>
      <c r="H108" s="19">
        <v>41842</v>
      </c>
      <c r="I108">
        <v>10.199999999999999</v>
      </c>
      <c r="K108" s="19"/>
      <c r="N108" s="19"/>
    </row>
    <row r="109" spans="2:14" x14ac:dyDescent="0.25">
      <c r="B109" s="19">
        <v>41843</v>
      </c>
      <c r="C109">
        <v>51.41</v>
      </c>
      <c r="E109" s="19">
        <v>41843</v>
      </c>
      <c r="F109">
        <v>49.005000000000003</v>
      </c>
      <c r="H109" s="19">
        <v>41843</v>
      </c>
      <c r="I109">
        <v>10.295</v>
      </c>
      <c r="K109" s="19"/>
      <c r="N109" s="19"/>
    </row>
    <row r="110" spans="2:14" x14ac:dyDescent="0.25">
      <c r="B110" s="19">
        <v>41844</v>
      </c>
      <c r="C110">
        <v>51.92</v>
      </c>
      <c r="E110" s="19">
        <v>41844</v>
      </c>
      <c r="F110">
        <v>49.8</v>
      </c>
      <c r="H110" s="19">
        <v>41844</v>
      </c>
      <c r="I110">
        <v>10.715</v>
      </c>
      <c r="K110" s="19"/>
      <c r="N110" s="19"/>
    </row>
    <row r="111" spans="2:14" x14ac:dyDescent="0.25">
      <c r="B111" s="19">
        <v>41845</v>
      </c>
      <c r="C111">
        <v>51.1</v>
      </c>
      <c r="E111" s="19">
        <v>41845</v>
      </c>
      <c r="F111">
        <v>49.58</v>
      </c>
      <c r="H111" s="19">
        <v>41845</v>
      </c>
      <c r="I111">
        <v>10.68</v>
      </c>
      <c r="K111" s="19"/>
      <c r="N111" s="19"/>
    </row>
    <row r="112" spans="2:14" x14ac:dyDescent="0.25">
      <c r="B112" s="19">
        <v>41848</v>
      </c>
      <c r="C112">
        <v>51.78</v>
      </c>
      <c r="E112" s="19">
        <v>41848</v>
      </c>
      <c r="F112">
        <v>49.645000000000003</v>
      </c>
      <c r="H112" s="19">
        <v>41848</v>
      </c>
      <c r="I112">
        <v>10.74</v>
      </c>
      <c r="K112" s="19"/>
      <c r="N112" s="19"/>
    </row>
    <row r="113" spans="2:14" x14ac:dyDescent="0.25">
      <c r="B113" s="19">
        <v>41849</v>
      </c>
      <c r="C113">
        <v>52.22</v>
      </c>
      <c r="E113" s="19">
        <v>41849</v>
      </c>
      <c r="F113">
        <v>50.04</v>
      </c>
      <c r="H113" s="19">
        <v>41849</v>
      </c>
      <c r="I113">
        <v>10.685</v>
      </c>
      <c r="K113" s="19"/>
      <c r="N113" s="19"/>
    </row>
    <row r="114" spans="2:14" x14ac:dyDescent="0.25">
      <c r="B114" s="19">
        <v>41850</v>
      </c>
      <c r="C114">
        <v>49.645000000000003</v>
      </c>
      <c r="E114" s="19">
        <v>41850</v>
      </c>
      <c r="F114">
        <v>49.88</v>
      </c>
      <c r="H114" s="19">
        <v>41850</v>
      </c>
      <c r="I114">
        <v>10.57</v>
      </c>
      <c r="K114" s="19"/>
      <c r="N114" s="19"/>
    </row>
    <row r="115" spans="2:14" x14ac:dyDescent="0.25">
      <c r="B115" s="19">
        <v>41851</v>
      </c>
      <c r="C115">
        <v>48.09</v>
      </c>
      <c r="E115" s="19">
        <v>41851</v>
      </c>
      <c r="F115">
        <v>49.5</v>
      </c>
      <c r="H115" s="19">
        <v>41851</v>
      </c>
      <c r="I115">
        <v>10.119999999999999</v>
      </c>
      <c r="K115" s="19"/>
      <c r="N115" s="19"/>
    </row>
    <row r="116" spans="2:14" x14ac:dyDescent="0.25">
      <c r="B116" s="19">
        <v>41852</v>
      </c>
      <c r="C116">
        <v>48.03</v>
      </c>
      <c r="E116" s="19">
        <v>41852</v>
      </c>
      <c r="F116">
        <v>49.76</v>
      </c>
      <c r="H116" s="19">
        <v>41852</v>
      </c>
      <c r="I116">
        <v>10.085000000000001</v>
      </c>
      <c r="K116" s="19"/>
      <c r="N116" s="19"/>
    </row>
    <row r="117" spans="2:14" x14ac:dyDescent="0.25">
      <c r="B117" s="19">
        <v>41855</v>
      </c>
      <c r="C117">
        <v>48.47</v>
      </c>
      <c r="E117" s="19">
        <v>41855</v>
      </c>
      <c r="F117">
        <v>50.19</v>
      </c>
      <c r="H117" s="19">
        <v>41855</v>
      </c>
      <c r="I117">
        <v>10.285</v>
      </c>
      <c r="K117" s="19"/>
      <c r="N117" s="19"/>
    </row>
    <row r="118" spans="2:14" x14ac:dyDescent="0.25">
      <c r="B118" s="19">
        <v>41856</v>
      </c>
      <c r="C118">
        <v>48.56</v>
      </c>
      <c r="E118" s="19">
        <v>41856</v>
      </c>
      <c r="F118">
        <v>49.47</v>
      </c>
      <c r="H118" s="19">
        <v>41856</v>
      </c>
      <c r="I118">
        <v>10.51</v>
      </c>
      <c r="K118" s="19"/>
      <c r="N118" s="19"/>
    </row>
    <row r="119" spans="2:14" x14ac:dyDescent="0.25">
      <c r="B119" s="19">
        <v>41857</v>
      </c>
      <c r="C119">
        <v>48.695</v>
      </c>
      <c r="E119" s="19">
        <v>41857</v>
      </c>
      <c r="F119">
        <v>48.924999999999997</v>
      </c>
      <c r="H119" s="19">
        <v>41857</v>
      </c>
      <c r="I119">
        <v>10.58</v>
      </c>
      <c r="K119" s="19"/>
      <c r="N119" s="19"/>
    </row>
    <row r="120" spans="2:14" x14ac:dyDescent="0.25">
      <c r="B120" s="19">
        <v>41858</v>
      </c>
      <c r="C120">
        <v>48.29</v>
      </c>
      <c r="E120" s="19">
        <v>41858</v>
      </c>
      <c r="F120">
        <v>48.17</v>
      </c>
      <c r="H120" s="19">
        <v>41858</v>
      </c>
      <c r="I120">
        <v>10.36</v>
      </c>
      <c r="K120" s="19"/>
      <c r="N120" s="19"/>
    </row>
    <row r="121" spans="2:14" x14ac:dyDescent="0.25">
      <c r="B121" s="19">
        <v>41859</v>
      </c>
      <c r="C121">
        <v>48.33</v>
      </c>
      <c r="E121" s="19">
        <v>41859</v>
      </c>
      <c r="F121">
        <v>47.97</v>
      </c>
      <c r="H121" s="19">
        <v>41859</v>
      </c>
      <c r="I121">
        <v>10.435</v>
      </c>
      <c r="K121" s="19"/>
      <c r="N121" s="19"/>
    </row>
    <row r="122" spans="2:14" x14ac:dyDescent="0.25">
      <c r="B122" s="19">
        <v>41862</v>
      </c>
      <c r="C122">
        <v>48.89</v>
      </c>
      <c r="E122" s="19">
        <v>41862</v>
      </c>
      <c r="F122">
        <v>48.024999999999999</v>
      </c>
      <c r="H122" s="19">
        <v>41862</v>
      </c>
      <c r="I122">
        <v>10.45</v>
      </c>
      <c r="K122" s="19"/>
      <c r="N122" s="19"/>
    </row>
    <row r="123" spans="2:14" x14ac:dyDescent="0.25">
      <c r="B123" s="19">
        <v>41863</v>
      </c>
      <c r="C123">
        <v>47.8</v>
      </c>
      <c r="E123" s="19">
        <v>41863</v>
      </c>
      <c r="F123">
        <v>47.9</v>
      </c>
      <c r="H123" s="19">
        <v>41863</v>
      </c>
      <c r="I123">
        <v>10.43</v>
      </c>
      <c r="K123" s="19"/>
      <c r="N123" s="19"/>
    </row>
    <row r="124" spans="2:14" x14ac:dyDescent="0.25">
      <c r="B124" s="19">
        <v>41864</v>
      </c>
      <c r="C124">
        <v>48.055</v>
      </c>
      <c r="E124" s="19">
        <v>41864</v>
      </c>
      <c r="F124">
        <v>48.734999999999999</v>
      </c>
      <c r="H124" s="19">
        <v>41864</v>
      </c>
      <c r="I124">
        <v>10.565</v>
      </c>
      <c r="K124" s="19"/>
      <c r="N124" s="19"/>
    </row>
    <row r="125" spans="2:14" x14ac:dyDescent="0.25">
      <c r="B125" s="19">
        <v>41865</v>
      </c>
      <c r="C125">
        <v>47.884999999999998</v>
      </c>
      <c r="E125" s="19">
        <v>41865</v>
      </c>
      <c r="F125">
        <v>48.56</v>
      </c>
      <c r="H125" s="19">
        <v>41865</v>
      </c>
      <c r="I125">
        <v>10.605</v>
      </c>
      <c r="K125" s="19"/>
      <c r="N125" s="19"/>
    </row>
    <row r="126" spans="2:14" x14ac:dyDescent="0.25">
      <c r="B126" s="19">
        <v>41866</v>
      </c>
      <c r="C126">
        <v>47.33</v>
      </c>
      <c r="E126" s="19">
        <v>41866</v>
      </c>
      <c r="F126">
        <v>48.325000000000003</v>
      </c>
      <c r="H126" s="19">
        <v>41866</v>
      </c>
      <c r="I126">
        <v>10.47</v>
      </c>
      <c r="K126" s="19"/>
      <c r="N126" s="19"/>
    </row>
    <row r="127" spans="2:14" x14ac:dyDescent="0.25">
      <c r="B127" s="19">
        <v>41869</v>
      </c>
      <c r="C127">
        <v>47.81</v>
      </c>
      <c r="E127" s="19">
        <v>41869</v>
      </c>
      <c r="F127">
        <v>48.664999999999999</v>
      </c>
      <c r="H127" s="19">
        <v>41869</v>
      </c>
      <c r="I127">
        <v>10.654999999999999</v>
      </c>
      <c r="K127" s="19"/>
      <c r="N127" s="19"/>
    </row>
    <row r="128" spans="2:14" x14ac:dyDescent="0.25">
      <c r="B128" s="19">
        <v>41870</v>
      </c>
      <c r="C128">
        <v>48.25</v>
      </c>
      <c r="E128" s="19">
        <v>41870</v>
      </c>
      <c r="F128">
        <v>48.81</v>
      </c>
      <c r="H128" s="19">
        <v>41870</v>
      </c>
      <c r="I128">
        <v>10.715</v>
      </c>
      <c r="K128" s="19"/>
      <c r="N128" s="19"/>
    </row>
    <row r="129" spans="2:14" x14ac:dyDescent="0.25">
      <c r="B129" s="19">
        <v>41871</v>
      </c>
      <c r="C129">
        <v>48.35</v>
      </c>
      <c r="E129" s="19">
        <v>41871</v>
      </c>
      <c r="F129">
        <v>48.57</v>
      </c>
      <c r="H129" s="19">
        <v>41871</v>
      </c>
      <c r="I129">
        <v>10.69</v>
      </c>
      <c r="K129" s="19"/>
      <c r="N129" s="19"/>
    </row>
    <row r="130" spans="2:14" x14ac:dyDescent="0.25">
      <c r="B130" s="19">
        <v>41872</v>
      </c>
      <c r="C130">
        <v>48.97</v>
      </c>
      <c r="E130" s="19">
        <v>41872</v>
      </c>
      <c r="F130">
        <v>49.39</v>
      </c>
      <c r="H130" s="19">
        <v>41872</v>
      </c>
      <c r="I130">
        <v>10.81</v>
      </c>
      <c r="K130" s="19"/>
      <c r="N130" s="19"/>
    </row>
    <row r="131" spans="2:14" x14ac:dyDescent="0.25">
      <c r="B131" s="19">
        <v>41873</v>
      </c>
      <c r="C131">
        <v>47.914999999999999</v>
      </c>
      <c r="E131" s="19">
        <v>41873</v>
      </c>
      <c r="F131">
        <v>49.07</v>
      </c>
      <c r="H131" s="19">
        <v>41873</v>
      </c>
      <c r="I131">
        <v>10.805</v>
      </c>
      <c r="K131" s="19"/>
      <c r="N131" s="19"/>
    </row>
    <row r="132" spans="2:14" x14ac:dyDescent="0.25">
      <c r="B132" s="19">
        <v>41876</v>
      </c>
      <c r="C132">
        <v>49.26</v>
      </c>
      <c r="E132" s="19">
        <v>41876</v>
      </c>
      <c r="F132">
        <v>50.23</v>
      </c>
      <c r="H132" s="19">
        <v>41876</v>
      </c>
      <c r="I132">
        <v>10.99</v>
      </c>
      <c r="K132" s="19"/>
      <c r="N132" s="19"/>
    </row>
    <row r="133" spans="2:14" x14ac:dyDescent="0.25">
      <c r="B133" s="19">
        <v>41877</v>
      </c>
      <c r="C133">
        <v>50.03</v>
      </c>
      <c r="E133" s="19">
        <v>41877</v>
      </c>
      <c r="F133">
        <v>51.3</v>
      </c>
      <c r="H133" s="19">
        <v>41877</v>
      </c>
      <c r="I133">
        <v>11.145</v>
      </c>
      <c r="K133" s="19"/>
      <c r="N133" s="19"/>
    </row>
    <row r="134" spans="2:14" x14ac:dyDescent="0.25">
      <c r="B134" s="19">
        <v>41878</v>
      </c>
      <c r="C134">
        <v>49.74</v>
      </c>
      <c r="E134" s="19">
        <v>41878</v>
      </c>
      <c r="F134">
        <v>51.76</v>
      </c>
      <c r="H134" s="19">
        <v>41878</v>
      </c>
      <c r="I134">
        <v>11.365</v>
      </c>
      <c r="K134" s="19"/>
      <c r="N134" s="19"/>
    </row>
    <row r="135" spans="2:14" x14ac:dyDescent="0.25">
      <c r="B135" s="19">
        <v>41879</v>
      </c>
      <c r="C135">
        <v>49.58</v>
      </c>
      <c r="E135" s="19">
        <v>41879</v>
      </c>
      <c r="F135">
        <v>51.47</v>
      </c>
      <c r="H135" s="19">
        <v>41879</v>
      </c>
      <c r="I135">
        <v>11.19</v>
      </c>
      <c r="K135" s="19"/>
      <c r="N135" s="19"/>
    </row>
    <row r="136" spans="2:14" x14ac:dyDescent="0.25">
      <c r="B136" s="19">
        <v>41880</v>
      </c>
      <c r="C136">
        <v>50.19</v>
      </c>
      <c r="E136" s="19">
        <v>41880</v>
      </c>
      <c r="F136">
        <v>51.38</v>
      </c>
      <c r="H136" s="19">
        <v>41880</v>
      </c>
      <c r="I136">
        <v>11.285</v>
      </c>
      <c r="K136" s="19"/>
      <c r="N136" s="19"/>
    </row>
    <row r="137" spans="2:14" x14ac:dyDescent="0.25">
      <c r="B137" s="19">
        <v>41883</v>
      </c>
      <c r="C137">
        <v>50.54</v>
      </c>
      <c r="E137" s="19">
        <v>41883</v>
      </c>
      <c r="F137">
        <v>51.38</v>
      </c>
      <c r="H137" s="19">
        <v>41883</v>
      </c>
      <c r="I137">
        <v>11.205</v>
      </c>
      <c r="K137" s="19"/>
      <c r="N137" s="19"/>
    </row>
    <row r="138" spans="2:14" x14ac:dyDescent="0.25">
      <c r="B138" s="19">
        <v>41884</v>
      </c>
      <c r="C138">
        <v>49.87</v>
      </c>
      <c r="E138" s="19">
        <v>41884</v>
      </c>
      <c r="F138">
        <v>51.67</v>
      </c>
      <c r="H138" s="19">
        <v>41884</v>
      </c>
      <c r="I138">
        <v>11.295</v>
      </c>
      <c r="K138" s="19"/>
      <c r="N138" s="19"/>
    </row>
    <row r="139" spans="2:14" x14ac:dyDescent="0.25">
      <c r="B139" s="19">
        <v>41885</v>
      </c>
      <c r="C139">
        <v>50.45</v>
      </c>
      <c r="E139" s="19">
        <v>41885</v>
      </c>
      <c r="F139">
        <v>52.78</v>
      </c>
      <c r="H139" s="19">
        <v>41885</v>
      </c>
      <c r="I139">
        <v>11.48</v>
      </c>
      <c r="K139" s="19"/>
      <c r="N139" s="19"/>
    </row>
    <row r="140" spans="2:14" x14ac:dyDescent="0.25">
      <c r="B140" s="19">
        <v>41886</v>
      </c>
      <c r="C140">
        <v>51.77</v>
      </c>
      <c r="E140" s="19">
        <v>41886</v>
      </c>
      <c r="F140">
        <v>54.3</v>
      </c>
      <c r="H140" s="19">
        <v>41886</v>
      </c>
      <c r="I140">
        <v>11.75</v>
      </c>
      <c r="K140" s="19"/>
      <c r="N140" s="19"/>
    </row>
    <row r="141" spans="2:14" x14ac:dyDescent="0.25">
      <c r="B141" s="19">
        <v>41887</v>
      </c>
      <c r="C141">
        <v>51.41</v>
      </c>
      <c r="E141" s="19">
        <v>41887</v>
      </c>
      <c r="F141">
        <v>54.07</v>
      </c>
      <c r="H141" s="19">
        <v>41887</v>
      </c>
      <c r="I141">
        <v>11.96</v>
      </c>
      <c r="K141" s="19"/>
      <c r="N141" s="19"/>
    </row>
    <row r="142" spans="2:14" x14ac:dyDescent="0.25">
      <c r="B142" s="19">
        <v>41890</v>
      </c>
      <c r="C142">
        <v>50.84</v>
      </c>
      <c r="E142" s="19">
        <v>41890</v>
      </c>
      <c r="F142">
        <v>54</v>
      </c>
      <c r="H142" s="19">
        <v>41890</v>
      </c>
      <c r="I142">
        <v>11.93</v>
      </c>
      <c r="K142" s="19"/>
      <c r="N142" s="19"/>
    </row>
    <row r="143" spans="2:14" x14ac:dyDescent="0.25">
      <c r="B143" s="19">
        <v>41891</v>
      </c>
      <c r="C143">
        <v>50.5</v>
      </c>
      <c r="E143" s="19">
        <v>41891</v>
      </c>
      <c r="F143">
        <v>53.33</v>
      </c>
      <c r="H143" s="19">
        <v>41891</v>
      </c>
      <c r="I143">
        <v>11.935</v>
      </c>
      <c r="K143" s="19"/>
      <c r="N143" s="19"/>
    </row>
    <row r="144" spans="2:14" x14ac:dyDescent="0.25">
      <c r="B144" s="19">
        <v>41892</v>
      </c>
      <c r="C144">
        <v>50.29</v>
      </c>
      <c r="E144" s="19">
        <v>41892</v>
      </c>
      <c r="F144">
        <v>53.85</v>
      </c>
      <c r="H144" s="19">
        <v>41892</v>
      </c>
      <c r="I144">
        <v>11.994999999999999</v>
      </c>
      <c r="K144" s="19"/>
      <c r="N144" s="19"/>
    </row>
    <row r="145" spans="2:14" x14ac:dyDescent="0.25">
      <c r="B145" s="19">
        <v>41893</v>
      </c>
      <c r="C145">
        <v>50.17</v>
      </c>
      <c r="E145" s="19">
        <v>41893</v>
      </c>
      <c r="F145">
        <v>53.71</v>
      </c>
      <c r="H145" s="19">
        <v>41893</v>
      </c>
      <c r="I145">
        <v>11.904999999999999</v>
      </c>
      <c r="K145" s="19"/>
      <c r="N145" s="19"/>
    </row>
    <row r="146" spans="2:14" x14ac:dyDescent="0.25">
      <c r="B146" s="19">
        <v>41894</v>
      </c>
      <c r="C146">
        <v>50.03</v>
      </c>
      <c r="E146" s="19">
        <v>41894</v>
      </c>
      <c r="F146">
        <v>53.97</v>
      </c>
      <c r="H146" s="19">
        <v>41894</v>
      </c>
      <c r="I146">
        <v>11.945</v>
      </c>
      <c r="K146" s="19"/>
      <c r="N146" s="19"/>
    </row>
    <row r="147" spans="2:14" x14ac:dyDescent="0.25">
      <c r="B147" s="19">
        <v>41897</v>
      </c>
      <c r="C147">
        <v>49.445</v>
      </c>
      <c r="E147" s="19">
        <v>41897</v>
      </c>
      <c r="F147">
        <v>53.54</v>
      </c>
      <c r="H147" s="19">
        <v>41897</v>
      </c>
      <c r="I147">
        <v>11.835000000000001</v>
      </c>
      <c r="K147" s="19"/>
      <c r="N147" s="19"/>
    </row>
    <row r="148" spans="2:14" x14ac:dyDescent="0.25">
      <c r="B148" s="19">
        <v>41898</v>
      </c>
      <c r="C148">
        <v>49.865000000000002</v>
      </c>
      <c r="E148" s="19">
        <v>41898</v>
      </c>
      <c r="F148">
        <v>53.37</v>
      </c>
      <c r="H148" s="19">
        <v>41898</v>
      </c>
      <c r="I148">
        <v>11.81</v>
      </c>
      <c r="K148" s="19"/>
      <c r="N148" s="19"/>
    </row>
    <row r="149" spans="2:14" x14ac:dyDescent="0.25">
      <c r="B149" s="19">
        <v>41899</v>
      </c>
      <c r="C149">
        <v>49.945</v>
      </c>
      <c r="E149" s="19">
        <v>41899</v>
      </c>
      <c r="F149">
        <v>53.82</v>
      </c>
      <c r="H149" s="19">
        <v>41899</v>
      </c>
      <c r="I149">
        <v>11.975</v>
      </c>
      <c r="K149" s="19"/>
      <c r="N149" s="19"/>
    </row>
    <row r="150" spans="2:14" x14ac:dyDescent="0.25">
      <c r="B150" s="19">
        <v>41900</v>
      </c>
      <c r="C150">
        <v>49.994999999999997</v>
      </c>
      <c r="E150" s="19">
        <v>41900</v>
      </c>
      <c r="F150">
        <v>54.3</v>
      </c>
      <c r="H150" s="19">
        <v>41900</v>
      </c>
      <c r="I150">
        <v>12.125</v>
      </c>
      <c r="K150" s="19"/>
      <c r="N150" s="19"/>
    </row>
    <row r="151" spans="2:14" x14ac:dyDescent="0.25">
      <c r="B151" s="19">
        <v>41901</v>
      </c>
      <c r="C151">
        <v>50.04</v>
      </c>
      <c r="E151" s="19">
        <v>41901</v>
      </c>
      <c r="F151">
        <v>54</v>
      </c>
      <c r="H151" s="19">
        <v>41901</v>
      </c>
      <c r="I151">
        <v>12.005000000000001</v>
      </c>
      <c r="K151" s="19"/>
      <c r="N151" s="19"/>
    </row>
    <row r="152" spans="2:14" x14ac:dyDescent="0.25">
      <c r="B152" s="19">
        <v>41904</v>
      </c>
      <c r="C152">
        <v>50.13</v>
      </c>
      <c r="E152" s="19">
        <v>41904</v>
      </c>
      <c r="F152">
        <v>53.65</v>
      </c>
      <c r="H152" s="19">
        <v>41904</v>
      </c>
      <c r="I152">
        <v>11.94</v>
      </c>
      <c r="K152" s="19"/>
      <c r="N152" s="19"/>
    </row>
    <row r="153" spans="2:14" x14ac:dyDescent="0.25">
      <c r="B153" s="19">
        <v>41905</v>
      </c>
      <c r="C153">
        <v>48.76</v>
      </c>
      <c r="E153" s="19">
        <v>41905</v>
      </c>
      <c r="F153">
        <v>52.71</v>
      </c>
      <c r="H153" s="19">
        <v>41905</v>
      </c>
      <c r="I153">
        <v>11.765000000000001</v>
      </c>
      <c r="K153" s="19"/>
      <c r="N153" s="19"/>
    </row>
    <row r="154" spans="2:14" x14ac:dyDescent="0.25">
      <c r="B154" s="19">
        <v>41906</v>
      </c>
      <c r="C154">
        <v>50.17</v>
      </c>
      <c r="E154" s="19">
        <v>41906</v>
      </c>
      <c r="F154">
        <v>53.25</v>
      </c>
      <c r="H154" s="19">
        <v>41906</v>
      </c>
      <c r="I154">
        <v>11.875</v>
      </c>
      <c r="K154" s="19"/>
      <c r="N154" s="19"/>
    </row>
    <row r="155" spans="2:14" x14ac:dyDescent="0.25">
      <c r="B155" s="19">
        <v>41907</v>
      </c>
      <c r="C155">
        <v>49.57</v>
      </c>
      <c r="E155" s="19">
        <v>41907</v>
      </c>
      <c r="F155">
        <v>52.66</v>
      </c>
      <c r="H155" s="19">
        <v>41907</v>
      </c>
      <c r="I155">
        <v>11.76</v>
      </c>
      <c r="K155" s="19"/>
      <c r="N155" s="19"/>
    </row>
    <row r="156" spans="2:14" x14ac:dyDescent="0.25">
      <c r="B156" s="19">
        <v>41908</v>
      </c>
      <c r="C156">
        <v>50.73</v>
      </c>
      <c r="E156" s="19">
        <v>41908</v>
      </c>
      <c r="F156">
        <v>52.83</v>
      </c>
      <c r="H156" s="19">
        <v>41908</v>
      </c>
      <c r="I156">
        <v>11.895</v>
      </c>
      <c r="K156" s="19"/>
      <c r="N156" s="19"/>
    </row>
    <row r="157" spans="2:14" x14ac:dyDescent="0.25">
      <c r="B157" s="19">
        <v>41911</v>
      </c>
      <c r="C157">
        <v>50.31</v>
      </c>
      <c r="E157" s="19">
        <v>41911</v>
      </c>
      <c r="F157">
        <v>52.08</v>
      </c>
      <c r="H157" s="19">
        <v>41911</v>
      </c>
      <c r="I157">
        <v>11.76</v>
      </c>
      <c r="K157" s="19"/>
      <c r="N157" s="19"/>
    </row>
    <row r="158" spans="2:14" x14ac:dyDescent="0.25">
      <c r="B158" s="19">
        <v>41912</v>
      </c>
      <c r="C158">
        <v>51.45</v>
      </c>
      <c r="E158" s="19">
        <v>41912</v>
      </c>
      <c r="F158">
        <v>52.52</v>
      </c>
      <c r="H158" s="19">
        <v>41912</v>
      </c>
      <c r="I158">
        <v>11.945</v>
      </c>
      <c r="K158" s="19"/>
      <c r="N158" s="19"/>
    </row>
    <row r="159" spans="2:14" x14ac:dyDescent="0.25">
      <c r="B159" s="19">
        <v>41913</v>
      </c>
      <c r="C159">
        <v>50.71</v>
      </c>
      <c r="E159" s="19">
        <v>41913</v>
      </c>
      <c r="F159">
        <v>52.35</v>
      </c>
      <c r="H159" s="19">
        <v>41913</v>
      </c>
      <c r="I159">
        <v>11.79</v>
      </c>
      <c r="K159" s="19"/>
      <c r="N159" s="19"/>
    </row>
    <row r="160" spans="2:14" x14ac:dyDescent="0.25">
      <c r="B160" s="19">
        <v>41914</v>
      </c>
      <c r="C160">
        <v>48.185000000000002</v>
      </c>
      <c r="E160" s="19">
        <v>41914</v>
      </c>
      <c r="F160">
        <v>50.53</v>
      </c>
      <c r="H160" s="19">
        <v>41914</v>
      </c>
      <c r="I160">
        <v>11.395</v>
      </c>
      <c r="K160" s="19"/>
      <c r="N160" s="19"/>
    </row>
    <row r="161" spans="2:14" x14ac:dyDescent="0.25">
      <c r="B161" s="19">
        <v>41915</v>
      </c>
      <c r="C161">
        <v>48.51</v>
      </c>
      <c r="E161" s="19">
        <v>41915</v>
      </c>
      <c r="F161">
        <v>50.94</v>
      </c>
      <c r="H161" s="19">
        <v>41915</v>
      </c>
      <c r="I161">
        <v>11.705</v>
      </c>
      <c r="K161" s="19"/>
      <c r="N161" s="19"/>
    </row>
    <row r="162" spans="2:14" x14ac:dyDescent="0.25">
      <c r="B162" s="19">
        <v>41918</v>
      </c>
      <c r="C162">
        <v>48.35</v>
      </c>
      <c r="E162" s="19">
        <v>41918</v>
      </c>
      <c r="F162">
        <v>51.16</v>
      </c>
      <c r="H162" s="19">
        <v>41918</v>
      </c>
      <c r="I162">
        <v>11.59</v>
      </c>
      <c r="K162" s="19"/>
      <c r="N162" s="19"/>
    </row>
    <row r="163" spans="2:14" x14ac:dyDescent="0.25">
      <c r="B163" s="19">
        <v>41919</v>
      </c>
      <c r="C163">
        <v>47.22</v>
      </c>
      <c r="E163" s="19">
        <v>41919</v>
      </c>
      <c r="F163">
        <v>50.1</v>
      </c>
      <c r="H163" s="19">
        <v>41919</v>
      </c>
      <c r="I163">
        <v>11.4</v>
      </c>
      <c r="K163" s="19"/>
      <c r="N163" s="19"/>
    </row>
    <row r="164" spans="2:14" x14ac:dyDescent="0.25">
      <c r="B164" s="19">
        <v>41920</v>
      </c>
      <c r="C164">
        <v>46.734999999999999</v>
      </c>
      <c r="E164" s="19">
        <v>41920</v>
      </c>
      <c r="F164">
        <v>49.41</v>
      </c>
      <c r="H164" s="19">
        <v>41920</v>
      </c>
      <c r="I164">
        <v>11.25</v>
      </c>
      <c r="K164" s="19"/>
      <c r="N164" s="19"/>
    </row>
    <row r="165" spans="2:14" x14ac:dyDescent="0.25">
      <c r="B165" s="19">
        <v>41921</v>
      </c>
      <c r="C165">
        <v>46.29</v>
      </c>
      <c r="E165" s="19">
        <v>41921</v>
      </c>
      <c r="F165">
        <v>48.85</v>
      </c>
      <c r="H165" s="19">
        <v>41921</v>
      </c>
      <c r="I165">
        <v>10.984999999999999</v>
      </c>
      <c r="K165" s="19"/>
      <c r="N165" s="19"/>
    </row>
    <row r="166" spans="2:14" x14ac:dyDescent="0.25">
      <c r="B166" s="19">
        <v>41922</v>
      </c>
      <c r="C166">
        <v>44.6</v>
      </c>
      <c r="E166" s="19">
        <v>41922</v>
      </c>
      <c r="F166">
        <v>48.515000000000001</v>
      </c>
      <c r="H166" s="19">
        <v>41922</v>
      </c>
      <c r="I166">
        <v>11.08</v>
      </c>
      <c r="K166" s="19"/>
      <c r="N166" s="19"/>
    </row>
    <row r="167" spans="2:14" x14ac:dyDescent="0.25">
      <c r="B167" s="19">
        <v>41925</v>
      </c>
      <c r="C167">
        <v>45.16</v>
      </c>
      <c r="E167" s="19">
        <v>41925</v>
      </c>
      <c r="F167">
        <v>48.515000000000001</v>
      </c>
      <c r="H167" s="19">
        <v>41925</v>
      </c>
      <c r="I167">
        <v>11.095000000000001</v>
      </c>
      <c r="K167" s="19"/>
      <c r="N167" s="19"/>
    </row>
    <row r="168" spans="2:14" x14ac:dyDescent="0.25">
      <c r="B168" s="19">
        <v>41926</v>
      </c>
      <c r="C168">
        <v>44.77</v>
      </c>
      <c r="E168" s="19">
        <v>41926</v>
      </c>
      <c r="F168">
        <v>48.695</v>
      </c>
      <c r="H168" s="19">
        <v>41926</v>
      </c>
      <c r="I168">
        <v>11.095000000000001</v>
      </c>
      <c r="K168" s="19"/>
      <c r="N168" s="19"/>
    </row>
    <row r="169" spans="2:14" x14ac:dyDescent="0.25">
      <c r="B169" s="19">
        <v>41927</v>
      </c>
      <c r="C169">
        <v>42.755000000000003</v>
      </c>
      <c r="E169" s="19">
        <v>41927</v>
      </c>
      <c r="F169">
        <v>46.454999999999998</v>
      </c>
      <c r="H169" s="19">
        <v>41927</v>
      </c>
      <c r="I169">
        <v>10.49</v>
      </c>
      <c r="K169" s="19"/>
      <c r="N169" s="19"/>
    </row>
    <row r="170" spans="2:14" x14ac:dyDescent="0.25">
      <c r="B170" s="19">
        <v>41928</v>
      </c>
      <c r="C170">
        <v>42.555</v>
      </c>
      <c r="E170" s="19">
        <v>41928</v>
      </c>
      <c r="F170">
        <v>45.45</v>
      </c>
      <c r="H170" s="19">
        <v>41928</v>
      </c>
      <c r="I170">
        <v>10.375</v>
      </c>
      <c r="K170" s="19"/>
      <c r="N170" s="19"/>
    </row>
    <row r="171" spans="2:14" x14ac:dyDescent="0.25">
      <c r="B171" s="19">
        <v>41929</v>
      </c>
      <c r="C171">
        <v>44.155000000000001</v>
      </c>
      <c r="E171" s="19">
        <v>41929</v>
      </c>
      <c r="F171">
        <v>47</v>
      </c>
      <c r="H171" s="19">
        <v>41929</v>
      </c>
      <c r="I171">
        <v>10.9</v>
      </c>
      <c r="K171" s="19"/>
      <c r="N171" s="19"/>
    </row>
    <row r="172" spans="2:14" x14ac:dyDescent="0.25">
      <c r="B172" s="19">
        <v>41932</v>
      </c>
      <c r="C172">
        <v>42.94</v>
      </c>
      <c r="E172" s="19">
        <v>41932</v>
      </c>
      <c r="F172">
        <v>47.064999999999998</v>
      </c>
      <c r="H172" s="19">
        <v>41932</v>
      </c>
      <c r="I172">
        <v>10.87</v>
      </c>
      <c r="K172" s="19"/>
      <c r="N172" s="19"/>
    </row>
    <row r="173" spans="2:14" x14ac:dyDescent="0.25">
      <c r="B173" s="19">
        <v>41933</v>
      </c>
      <c r="C173">
        <v>44.424999999999997</v>
      </c>
      <c r="E173" s="19">
        <v>41933</v>
      </c>
      <c r="F173">
        <v>48.29</v>
      </c>
      <c r="H173" s="19">
        <v>41933</v>
      </c>
      <c r="I173">
        <v>11.295</v>
      </c>
      <c r="K173" s="19"/>
      <c r="N173" s="19"/>
    </row>
    <row r="174" spans="2:14" x14ac:dyDescent="0.25">
      <c r="B174" s="19">
        <v>41934</v>
      </c>
      <c r="C174">
        <v>44.59</v>
      </c>
      <c r="E174" s="19">
        <v>41934</v>
      </c>
      <c r="F174">
        <v>48.475000000000001</v>
      </c>
      <c r="H174" s="19">
        <v>41934</v>
      </c>
      <c r="I174">
        <v>11.4</v>
      </c>
      <c r="K174" s="19"/>
      <c r="N174" s="19"/>
    </row>
    <row r="175" spans="2:14" x14ac:dyDescent="0.25">
      <c r="B175" s="19">
        <v>41935</v>
      </c>
      <c r="C175">
        <v>45.81</v>
      </c>
      <c r="E175" s="19">
        <v>41935</v>
      </c>
      <c r="F175">
        <v>49.204999999999998</v>
      </c>
      <c r="H175" s="19">
        <v>41935</v>
      </c>
      <c r="I175">
        <v>11.595000000000001</v>
      </c>
      <c r="K175" s="19"/>
      <c r="N175" s="19"/>
    </row>
    <row r="176" spans="2:14" x14ac:dyDescent="0.25">
      <c r="B176" s="19">
        <v>41936</v>
      </c>
      <c r="C176">
        <v>44.854999999999997</v>
      </c>
      <c r="E176" s="19">
        <v>41936</v>
      </c>
      <c r="F176">
        <v>49.505000000000003</v>
      </c>
      <c r="H176" s="19">
        <v>41936</v>
      </c>
      <c r="I176">
        <v>11.72</v>
      </c>
      <c r="K176" s="19"/>
      <c r="N176" s="19"/>
    </row>
    <row r="177" spans="2:14" x14ac:dyDescent="0.25">
      <c r="B177" s="19">
        <v>41939</v>
      </c>
      <c r="C177">
        <v>44.435000000000002</v>
      </c>
      <c r="E177" s="19">
        <v>41939</v>
      </c>
      <c r="F177">
        <v>48.884999999999998</v>
      </c>
      <c r="H177" s="19">
        <v>41939</v>
      </c>
      <c r="I177">
        <v>11.605</v>
      </c>
      <c r="K177" s="19"/>
      <c r="N177" s="19"/>
    </row>
    <row r="178" spans="2:14" x14ac:dyDescent="0.25">
      <c r="B178" s="19">
        <v>41940</v>
      </c>
      <c r="C178">
        <v>45.494999999999997</v>
      </c>
      <c r="E178" s="19">
        <v>41940</v>
      </c>
      <c r="F178">
        <v>49.524999999999999</v>
      </c>
      <c r="H178" s="19">
        <v>41940</v>
      </c>
      <c r="I178">
        <v>11.725</v>
      </c>
      <c r="K178" s="19"/>
      <c r="N178" s="19"/>
    </row>
    <row r="179" spans="2:14" x14ac:dyDescent="0.25">
      <c r="B179" s="19">
        <v>41941</v>
      </c>
      <c r="C179">
        <v>46.395000000000003</v>
      </c>
      <c r="E179" s="19">
        <v>41941</v>
      </c>
      <c r="F179">
        <v>48.47</v>
      </c>
      <c r="H179" s="19">
        <v>41941</v>
      </c>
      <c r="I179">
        <v>11.404999999999999</v>
      </c>
      <c r="K179" s="19"/>
      <c r="N179" s="19"/>
    </row>
    <row r="180" spans="2:14" x14ac:dyDescent="0.25">
      <c r="B180" s="19">
        <v>41942</v>
      </c>
      <c r="C180">
        <v>46.994999999999997</v>
      </c>
      <c r="E180" s="19">
        <v>41942</v>
      </c>
      <c r="F180">
        <v>48.465000000000003</v>
      </c>
      <c r="H180" s="19">
        <v>41942</v>
      </c>
      <c r="I180">
        <v>11.595000000000001</v>
      </c>
      <c r="K180" s="19"/>
      <c r="N180" s="19"/>
    </row>
    <row r="181" spans="2:14" x14ac:dyDescent="0.25">
      <c r="B181" s="19">
        <v>41943</v>
      </c>
      <c r="C181">
        <v>47.42</v>
      </c>
      <c r="E181" s="19">
        <v>41943</v>
      </c>
      <c r="F181">
        <v>50.14</v>
      </c>
      <c r="H181" s="19">
        <v>41943</v>
      </c>
      <c r="I181">
        <v>11.795</v>
      </c>
      <c r="K181" s="19"/>
      <c r="N181" s="19"/>
    </row>
    <row r="182" spans="2:14" x14ac:dyDescent="0.25">
      <c r="B182" s="19">
        <v>41946</v>
      </c>
      <c r="C182">
        <v>46.75</v>
      </c>
      <c r="E182" s="19">
        <v>41946</v>
      </c>
      <c r="F182">
        <v>49.365000000000002</v>
      </c>
      <c r="H182" s="19">
        <v>41946</v>
      </c>
      <c r="I182">
        <v>11.74</v>
      </c>
      <c r="K182" s="19"/>
      <c r="N182" s="19"/>
    </row>
    <row r="183" spans="2:14" x14ac:dyDescent="0.25">
      <c r="B183" s="19">
        <v>41947</v>
      </c>
      <c r="C183">
        <v>44.994999999999997</v>
      </c>
      <c r="E183" s="19">
        <v>41947</v>
      </c>
      <c r="F183">
        <v>48.734999999999999</v>
      </c>
      <c r="H183" s="19">
        <v>41947</v>
      </c>
      <c r="I183">
        <v>11.505000000000001</v>
      </c>
      <c r="K183" s="19"/>
      <c r="N183" s="19"/>
    </row>
    <row r="184" spans="2:14" x14ac:dyDescent="0.25">
      <c r="B184" s="19">
        <v>41948</v>
      </c>
      <c r="C184">
        <v>46.284999999999997</v>
      </c>
      <c r="E184" s="19">
        <v>41948</v>
      </c>
      <c r="F184">
        <v>49.664999999999999</v>
      </c>
      <c r="H184" s="19">
        <v>41948</v>
      </c>
      <c r="I184">
        <v>11.664999999999999</v>
      </c>
      <c r="K184" s="19"/>
      <c r="N184" s="19"/>
    </row>
    <row r="185" spans="2:14" x14ac:dyDescent="0.25">
      <c r="B185" s="19">
        <v>41949</v>
      </c>
      <c r="C185">
        <v>46.515000000000001</v>
      </c>
      <c r="E185" s="19">
        <v>41949</v>
      </c>
      <c r="F185">
        <v>49.62</v>
      </c>
      <c r="H185" s="19">
        <v>41949</v>
      </c>
      <c r="I185">
        <v>10.99</v>
      </c>
      <c r="K185" s="19"/>
      <c r="N185" s="19"/>
    </row>
    <row r="186" spans="2:14" x14ac:dyDescent="0.25">
      <c r="B186" s="19">
        <v>41950</v>
      </c>
      <c r="C186">
        <v>46.53</v>
      </c>
      <c r="E186" s="19">
        <v>41950</v>
      </c>
      <c r="F186">
        <v>48.67</v>
      </c>
      <c r="H186" s="19">
        <v>41950</v>
      </c>
      <c r="I186">
        <v>10.67</v>
      </c>
      <c r="K186" s="19"/>
      <c r="N186" s="19"/>
    </row>
    <row r="187" spans="2:14" x14ac:dyDescent="0.25">
      <c r="B187" s="19">
        <v>41953</v>
      </c>
      <c r="C187">
        <v>47.104999999999997</v>
      </c>
      <c r="E187" s="19">
        <v>41953</v>
      </c>
      <c r="F187">
        <v>48.16</v>
      </c>
      <c r="H187" s="19">
        <v>41953</v>
      </c>
      <c r="I187">
        <v>10.505000000000001</v>
      </c>
      <c r="K187" s="19"/>
      <c r="N187" s="19"/>
    </row>
    <row r="188" spans="2:14" x14ac:dyDescent="0.25">
      <c r="B188" s="19">
        <v>41954</v>
      </c>
      <c r="C188">
        <v>46.71</v>
      </c>
      <c r="E188" s="19">
        <v>41954</v>
      </c>
      <c r="F188">
        <v>48.07</v>
      </c>
      <c r="H188" s="19">
        <v>41954</v>
      </c>
      <c r="I188">
        <v>10.45</v>
      </c>
      <c r="K188" s="19"/>
      <c r="N188" s="19"/>
    </row>
    <row r="189" spans="2:14" x14ac:dyDescent="0.25">
      <c r="B189" s="19">
        <v>41955</v>
      </c>
      <c r="C189">
        <v>45.905000000000001</v>
      </c>
      <c r="E189" s="19">
        <v>41955</v>
      </c>
      <c r="F189">
        <v>46.905000000000001</v>
      </c>
      <c r="H189" s="19">
        <v>41955</v>
      </c>
      <c r="I189">
        <v>10.039999999999999</v>
      </c>
      <c r="K189" s="19"/>
      <c r="N189" s="19"/>
    </row>
    <row r="190" spans="2:14" x14ac:dyDescent="0.25">
      <c r="B190" s="19">
        <v>41956</v>
      </c>
      <c r="C190">
        <v>45.5</v>
      </c>
      <c r="E190" s="19">
        <v>41956</v>
      </c>
      <c r="F190">
        <v>47.045000000000002</v>
      </c>
      <c r="H190" s="19">
        <v>41956</v>
      </c>
      <c r="I190">
        <v>10.275</v>
      </c>
      <c r="K190" s="19"/>
      <c r="N190" s="19"/>
    </row>
    <row r="191" spans="2:14" x14ac:dyDescent="0.25">
      <c r="B191" s="19">
        <v>41957</v>
      </c>
      <c r="C191">
        <v>45.575000000000003</v>
      </c>
      <c r="E191" s="19">
        <v>41957</v>
      </c>
      <c r="F191">
        <v>47.55</v>
      </c>
      <c r="H191" s="19">
        <v>41957</v>
      </c>
      <c r="I191">
        <v>10.345000000000001</v>
      </c>
      <c r="K191" s="19"/>
      <c r="N191" s="19"/>
    </row>
    <row r="192" spans="2:14" x14ac:dyDescent="0.25">
      <c r="B192" s="19">
        <v>41960</v>
      </c>
      <c r="C192">
        <v>46.04</v>
      </c>
      <c r="E192" s="19">
        <v>41960</v>
      </c>
      <c r="F192">
        <v>47.85</v>
      </c>
      <c r="H192" s="19">
        <v>41960</v>
      </c>
      <c r="I192">
        <v>10.4</v>
      </c>
      <c r="K192" s="19"/>
      <c r="N192" s="19"/>
    </row>
    <row r="193" spans="2:14" x14ac:dyDescent="0.25">
      <c r="B193" s="19">
        <v>41961</v>
      </c>
      <c r="C193">
        <v>46.53</v>
      </c>
      <c r="E193" s="19">
        <v>41961</v>
      </c>
      <c r="F193">
        <v>48.365000000000002</v>
      </c>
      <c r="H193" s="19">
        <v>41961</v>
      </c>
      <c r="I193">
        <v>10.494999999999999</v>
      </c>
      <c r="K193" s="19"/>
      <c r="N193" s="19"/>
    </row>
    <row r="194" spans="2:14" x14ac:dyDescent="0.25">
      <c r="B194" s="19">
        <v>41962</v>
      </c>
      <c r="C194">
        <v>46.505000000000003</v>
      </c>
      <c r="E194" s="19">
        <v>41962</v>
      </c>
      <c r="F194">
        <v>48.64</v>
      </c>
      <c r="H194" s="19">
        <v>41962</v>
      </c>
      <c r="I194">
        <v>10.565</v>
      </c>
      <c r="K194" s="19"/>
      <c r="N194" s="19"/>
    </row>
    <row r="195" spans="2:14" x14ac:dyDescent="0.25">
      <c r="B195" s="19">
        <v>41963</v>
      </c>
      <c r="C195">
        <v>46.655000000000001</v>
      </c>
      <c r="E195" s="19">
        <v>41963</v>
      </c>
      <c r="F195">
        <v>47.82</v>
      </c>
      <c r="H195" s="19">
        <v>41963</v>
      </c>
      <c r="I195">
        <v>10.375</v>
      </c>
      <c r="K195" s="19"/>
      <c r="N195" s="19"/>
    </row>
    <row r="196" spans="2:14" x14ac:dyDescent="0.25">
      <c r="B196" s="19">
        <v>41964</v>
      </c>
      <c r="C196">
        <v>48.534999999999997</v>
      </c>
      <c r="E196" s="19">
        <v>41964</v>
      </c>
      <c r="F196">
        <v>49.67</v>
      </c>
      <c r="H196" s="19">
        <v>41964</v>
      </c>
      <c r="I196">
        <v>10.68</v>
      </c>
      <c r="K196" s="19"/>
      <c r="N196" s="19"/>
    </row>
    <row r="197" spans="2:14" x14ac:dyDescent="0.25">
      <c r="B197" s="19">
        <v>41967</v>
      </c>
      <c r="C197">
        <v>48.45</v>
      </c>
      <c r="E197" s="19">
        <v>41967</v>
      </c>
      <c r="F197">
        <v>50.2</v>
      </c>
      <c r="H197" s="19">
        <v>41967</v>
      </c>
      <c r="I197">
        <v>10.855</v>
      </c>
      <c r="K197" s="19"/>
      <c r="N197" s="19"/>
    </row>
    <row r="198" spans="2:14" x14ac:dyDescent="0.25">
      <c r="B198" s="19">
        <v>41968</v>
      </c>
      <c r="C198">
        <v>47.685000000000002</v>
      </c>
      <c r="E198" s="19">
        <v>41968</v>
      </c>
      <c r="F198">
        <v>51.12</v>
      </c>
      <c r="H198" s="19">
        <v>41968</v>
      </c>
      <c r="I198">
        <v>11.125</v>
      </c>
      <c r="K198" s="19"/>
      <c r="N198" s="19"/>
    </row>
    <row r="199" spans="2:14" x14ac:dyDescent="0.25">
      <c r="B199" s="19">
        <v>41969</v>
      </c>
      <c r="C199">
        <v>47.835000000000001</v>
      </c>
      <c r="E199" s="19">
        <v>41969</v>
      </c>
      <c r="F199">
        <v>50.68</v>
      </c>
      <c r="H199" s="19">
        <v>41969</v>
      </c>
      <c r="I199">
        <v>11.02</v>
      </c>
      <c r="K199" s="19"/>
      <c r="N199" s="19"/>
    </row>
    <row r="200" spans="2:14" x14ac:dyDescent="0.25">
      <c r="B200" s="19">
        <v>41970</v>
      </c>
      <c r="C200">
        <v>45.9</v>
      </c>
      <c r="E200" s="19">
        <v>41970</v>
      </c>
      <c r="F200">
        <v>51.28</v>
      </c>
      <c r="H200" s="19">
        <v>41970</v>
      </c>
      <c r="I200">
        <v>11.234999999999999</v>
      </c>
      <c r="K200" s="19"/>
      <c r="N200" s="19"/>
    </row>
    <row r="201" spans="2:14" x14ac:dyDescent="0.25">
      <c r="B201" s="19">
        <v>41971</v>
      </c>
      <c r="C201">
        <v>44.99</v>
      </c>
      <c r="E201" s="19">
        <v>41971</v>
      </c>
      <c r="F201">
        <v>51.56</v>
      </c>
      <c r="H201" s="19">
        <v>41971</v>
      </c>
      <c r="I201">
        <v>11.305</v>
      </c>
      <c r="K201" s="19"/>
      <c r="N201" s="19"/>
    </row>
    <row r="202" spans="2:14" x14ac:dyDescent="0.25">
      <c r="B202" s="19">
        <v>41974</v>
      </c>
      <c r="C202">
        <v>44.634999999999998</v>
      </c>
      <c r="E202" s="19">
        <v>41974</v>
      </c>
      <c r="F202">
        <v>50.69</v>
      </c>
      <c r="H202" s="19">
        <v>41974</v>
      </c>
      <c r="I202">
        <v>11.09</v>
      </c>
      <c r="K202" s="19"/>
      <c r="N202" s="19"/>
    </row>
    <row r="203" spans="2:14" x14ac:dyDescent="0.25">
      <c r="B203" s="19">
        <v>41975</v>
      </c>
      <c r="C203">
        <v>46.155000000000001</v>
      </c>
      <c r="E203" s="19">
        <v>41975</v>
      </c>
      <c r="F203">
        <v>51.03</v>
      </c>
      <c r="H203" s="19">
        <v>41975</v>
      </c>
      <c r="I203">
        <v>11.065</v>
      </c>
      <c r="K203" s="19"/>
      <c r="N203" s="19"/>
    </row>
    <row r="204" spans="2:14" x14ac:dyDescent="0.25">
      <c r="B204" s="19">
        <v>41976</v>
      </c>
      <c r="C204">
        <v>45.924999999999997</v>
      </c>
      <c r="E204" s="19">
        <v>41976</v>
      </c>
      <c r="F204">
        <v>51.06</v>
      </c>
      <c r="H204" s="19">
        <v>41976</v>
      </c>
      <c r="I204">
        <v>11.35</v>
      </c>
      <c r="K204" s="19"/>
      <c r="N204" s="19"/>
    </row>
    <row r="205" spans="2:14" x14ac:dyDescent="0.25">
      <c r="B205" s="19">
        <v>41977</v>
      </c>
      <c r="C205">
        <v>44.505000000000003</v>
      </c>
      <c r="E205" s="19">
        <v>41977</v>
      </c>
      <c r="F205">
        <v>49.865000000000002</v>
      </c>
      <c r="H205" s="19">
        <v>41977</v>
      </c>
      <c r="I205">
        <v>11.08</v>
      </c>
      <c r="K205" s="19"/>
      <c r="N205" s="19"/>
    </row>
    <row r="206" spans="2:14" x14ac:dyDescent="0.25">
      <c r="B206" s="19">
        <v>41978</v>
      </c>
      <c r="C206">
        <v>45.185000000000002</v>
      </c>
      <c r="E206" s="19">
        <v>41978</v>
      </c>
      <c r="F206">
        <v>51.92</v>
      </c>
      <c r="H206" s="19">
        <v>41978</v>
      </c>
      <c r="I206">
        <v>11.414999999999999</v>
      </c>
      <c r="K206" s="19"/>
      <c r="N206" s="19"/>
    </row>
    <row r="207" spans="2:14" x14ac:dyDescent="0.25">
      <c r="B207" s="19">
        <v>41981</v>
      </c>
      <c r="C207">
        <v>44.335000000000001</v>
      </c>
      <c r="E207" s="19">
        <v>41981</v>
      </c>
      <c r="F207">
        <v>51.75</v>
      </c>
      <c r="H207" s="19">
        <v>41981</v>
      </c>
      <c r="I207">
        <v>11.265000000000001</v>
      </c>
      <c r="K207" s="19"/>
      <c r="N207" s="19"/>
    </row>
    <row r="208" spans="2:14" x14ac:dyDescent="0.25">
      <c r="B208" s="19">
        <v>41982</v>
      </c>
      <c r="C208">
        <v>43.23</v>
      </c>
      <c r="E208" s="19">
        <v>41982</v>
      </c>
      <c r="F208">
        <v>49.98</v>
      </c>
      <c r="H208" s="19">
        <v>41982</v>
      </c>
      <c r="I208">
        <v>10.8</v>
      </c>
      <c r="K208" s="19"/>
      <c r="N208" s="19"/>
    </row>
    <row r="209" spans="2:14" x14ac:dyDescent="0.25">
      <c r="B209" s="19">
        <v>41983</v>
      </c>
      <c r="C209">
        <v>42.545000000000002</v>
      </c>
      <c r="E209" s="19">
        <v>41983</v>
      </c>
      <c r="F209">
        <v>49.454999999999998</v>
      </c>
      <c r="H209" s="19">
        <v>41983</v>
      </c>
      <c r="I209">
        <v>10.795</v>
      </c>
      <c r="K209" s="19"/>
      <c r="N209" s="19"/>
    </row>
    <row r="210" spans="2:14" x14ac:dyDescent="0.25">
      <c r="B210" s="19">
        <v>41984</v>
      </c>
      <c r="C210">
        <v>42.57</v>
      </c>
      <c r="E210" s="19">
        <v>41984</v>
      </c>
      <c r="F210">
        <v>49.45</v>
      </c>
      <c r="H210" s="19">
        <v>41984</v>
      </c>
      <c r="I210">
        <v>10.715</v>
      </c>
      <c r="K210" s="19"/>
      <c r="N210" s="19"/>
    </row>
    <row r="211" spans="2:14" x14ac:dyDescent="0.25">
      <c r="B211" s="19">
        <v>41985</v>
      </c>
      <c r="C211">
        <v>41.134999999999998</v>
      </c>
      <c r="E211" s="19">
        <v>41985</v>
      </c>
      <c r="F211">
        <v>48.195</v>
      </c>
      <c r="H211" s="19">
        <v>41985</v>
      </c>
      <c r="I211">
        <v>10.445</v>
      </c>
      <c r="K211" s="19"/>
      <c r="N211" s="19"/>
    </row>
    <row r="212" spans="2:14" x14ac:dyDescent="0.25">
      <c r="B212" s="19">
        <v>41988</v>
      </c>
      <c r="C212">
        <v>39.369999999999997</v>
      </c>
      <c r="E212" s="19">
        <v>41988</v>
      </c>
      <c r="F212">
        <v>46.45</v>
      </c>
      <c r="H212" s="19">
        <v>41988</v>
      </c>
      <c r="I212">
        <v>10.175000000000001</v>
      </c>
      <c r="K212" s="19"/>
      <c r="N212" s="19"/>
    </row>
    <row r="213" spans="2:14" x14ac:dyDescent="0.25">
      <c r="B213" s="19">
        <v>41989</v>
      </c>
      <c r="C213">
        <v>40.43</v>
      </c>
      <c r="E213" s="19">
        <v>41989</v>
      </c>
      <c r="F213">
        <v>47.744999999999997</v>
      </c>
      <c r="H213" s="19">
        <v>41989</v>
      </c>
      <c r="I213">
        <v>10.51</v>
      </c>
      <c r="K213" s="19"/>
      <c r="N213" s="19"/>
    </row>
    <row r="214" spans="2:14" x14ac:dyDescent="0.25">
      <c r="B214" s="19">
        <v>41990</v>
      </c>
      <c r="C214">
        <v>41.844999999999999</v>
      </c>
      <c r="E214" s="19">
        <v>41990</v>
      </c>
      <c r="F214">
        <v>47.48</v>
      </c>
      <c r="H214" s="19">
        <v>41990</v>
      </c>
      <c r="I214">
        <v>10.345000000000001</v>
      </c>
      <c r="K214" s="19"/>
      <c r="N214" s="19"/>
    </row>
    <row r="215" spans="2:14" x14ac:dyDescent="0.25">
      <c r="B215" s="19">
        <v>41991</v>
      </c>
      <c r="C215">
        <v>42.83</v>
      </c>
      <c r="E215" s="19">
        <v>41991</v>
      </c>
      <c r="F215">
        <v>49.24</v>
      </c>
      <c r="H215" s="19">
        <v>41991</v>
      </c>
      <c r="I215">
        <v>10.6</v>
      </c>
      <c r="K215" s="19"/>
      <c r="N215" s="19"/>
    </row>
    <row r="216" spans="2:14" x14ac:dyDescent="0.25">
      <c r="B216" s="19">
        <v>41992</v>
      </c>
      <c r="C216">
        <v>42.86</v>
      </c>
      <c r="E216" s="19">
        <v>41992</v>
      </c>
      <c r="F216">
        <v>48.445</v>
      </c>
      <c r="H216" s="19">
        <v>41992</v>
      </c>
      <c r="I216">
        <v>10.595000000000001</v>
      </c>
      <c r="K216" s="19"/>
      <c r="N216" s="19"/>
    </row>
    <row r="217" spans="2:14" x14ac:dyDescent="0.25">
      <c r="B217" s="19">
        <v>41995</v>
      </c>
      <c r="C217">
        <v>42.84</v>
      </c>
      <c r="E217" s="19">
        <v>41995</v>
      </c>
      <c r="F217">
        <v>48.704999999999998</v>
      </c>
      <c r="H217" s="19">
        <v>41995</v>
      </c>
      <c r="I217">
        <v>10.664999999999999</v>
      </c>
      <c r="K217" s="19"/>
      <c r="N217" s="19"/>
    </row>
    <row r="218" spans="2:14" x14ac:dyDescent="0.25">
      <c r="B218" s="19">
        <v>41996</v>
      </c>
      <c r="C218">
        <v>43.744999999999997</v>
      </c>
      <c r="E218" s="19">
        <v>41996</v>
      </c>
      <c r="F218">
        <v>49.6</v>
      </c>
      <c r="H218" s="19">
        <v>41996</v>
      </c>
      <c r="I218">
        <v>10.86</v>
      </c>
      <c r="K218" s="19"/>
      <c r="N218" s="19"/>
    </row>
    <row r="219" spans="2:14" x14ac:dyDescent="0.25">
      <c r="B219" s="19">
        <v>41997</v>
      </c>
      <c r="C219">
        <v>43.615000000000002</v>
      </c>
      <c r="E219" s="19">
        <v>41997</v>
      </c>
      <c r="F219">
        <v>49.585000000000001</v>
      </c>
      <c r="H219" s="19">
        <v>41997</v>
      </c>
      <c r="I219">
        <v>10.815</v>
      </c>
      <c r="K219" s="19"/>
      <c r="N219" s="19"/>
    </row>
    <row r="220" spans="2:14" x14ac:dyDescent="0.25">
      <c r="B220" s="19">
        <v>42002</v>
      </c>
      <c r="C220">
        <v>43.744999999999997</v>
      </c>
      <c r="E220" s="19">
        <v>42002</v>
      </c>
      <c r="F220">
        <v>50.1</v>
      </c>
      <c r="H220" s="19">
        <v>42002</v>
      </c>
      <c r="I220">
        <v>10.8</v>
      </c>
      <c r="K220" s="19"/>
      <c r="N220" s="19"/>
    </row>
    <row r="221" spans="2:14" x14ac:dyDescent="0.25">
      <c r="B221" s="19">
        <v>42003</v>
      </c>
      <c r="C221">
        <v>42.534999999999997</v>
      </c>
      <c r="E221" s="19">
        <v>42003</v>
      </c>
      <c r="F221">
        <v>48.83</v>
      </c>
      <c r="H221" s="19">
        <v>42003</v>
      </c>
      <c r="I221">
        <v>10.74</v>
      </c>
      <c r="K221" s="19"/>
      <c r="N221" s="19"/>
    </row>
    <row r="222" spans="2:14" x14ac:dyDescent="0.25">
      <c r="B222" s="19">
        <v>42004</v>
      </c>
      <c r="C222">
        <v>42.52</v>
      </c>
      <c r="E222" s="19">
        <v>42004</v>
      </c>
      <c r="F222">
        <v>49.26</v>
      </c>
      <c r="H222" s="19">
        <v>42004</v>
      </c>
      <c r="I222">
        <v>10.76</v>
      </c>
      <c r="K222" s="19"/>
      <c r="N222" s="19"/>
    </row>
    <row r="223" spans="2:14" x14ac:dyDescent="0.25">
      <c r="B223" s="19">
        <v>42006</v>
      </c>
      <c r="C223">
        <v>42.524999999999999</v>
      </c>
      <c r="E223" s="19">
        <v>42006</v>
      </c>
      <c r="F223">
        <v>49.43</v>
      </c>
      <c r="H223" s="19">
        <v>42006</v>
      </c>
      <c r="I223">
        <v>10.9</v>
      </c>
      <c r="K223" s="19"/>
      <c r="N223" s="19"/>
    </row>
    <row r="224" spans="2:14" x14ac:dyDescent="0.25">
      <c r="B224" s="19">
        <v>42009</v>
      </c>
      <c r="C224">
        <v>39.979999999999997</v>
      </c>
      <c r="E224" s="19">
        <v>42009</v>
      </c>
      <c r="F224">
        <v>47.03</v>
      </c>
      <c r="H224" s="19">
        <v>42009</v>
      </c>
      <c r="I224">
        <v>10.4</v>
      </c>
      <c r="K224" s="19"/>
      <c r="N224" s="19"/>
    </row>
    <row r="225" spans="2:14" x14ac:dyDescent="0.25">
      <c r="B225" s="19">
        <v>42010</v>
      </c>
      <c r="C225">
        <v>39.92</v>
      </c>
      <c r="E225" s="19">
        <v>42010</v>
      </c>
      <c r="F225">
        <v>45.8</v>
      </c>
      <c r="H225" s="19">
        <v>42010</v>
      </c>
      <c r="I225">
        <v>10.199999999999999</v>
      </c>
      <c r="K225" s="19"/>
      <c r="N225" s="19"/>
    </row>
    <row r="226" spans="2:14" x14ac:dyDescent="0.25">
      <c r="B226" s="19">
        <v>42011</v>
      </c>
      <c r="C226">
        <v>40.825000000000003</v>
      </c>
      <c r="E226" s="19">
        <v>42011</v>
      </c>
      <c r="F226">
        <v>45.034999999999997</v>
      </c>
      <c r="H226" s="19">
        <v>42011</v>
      </c>
      <c r="I226">
        <v>10.055</v>
      </c>
      <c r="K226" s="19"/>
      <c r="N226" s="19"/>
    </row>
    <row r="227" spans="2:14" x14ac:dyDescent="0.25">
      <c r="B227" s="19">
        <v>42012</v>
      </c>
      <c r="C227">
        <v>42.4</v>
      </c>
      <c r="E227" s="19">
        <v>42012</v>
      </c>
      <c r="F227">
        <v>46.494999999999997</v>
      </c>
      <c r="H227" s="19">
        <v>42012</v>
      </c>
      <c r="I227">
        <v>10.3</v>
      </c>
      <c r="K227" s="19"/>
      <c r="N227" s="19"/>
    </row>
    <row r="228" spans="2:14" x14ac:dyDescent="0.25">
      <c r="B228" s="19">
        <v>42013</v>
      </c>
      <c r="C228">
        <v>41.064999999999998</v>
      </c>
      <c r="E228" s="19">
        <v>42013</v>
      </c>
      <c r="F228">
        <v>44.935000000000002</v>
      </c>
      <c r="H228" s="19">
        <v>42013</v>
      </c>
      <c r="I228">
        <v>10.065</v>
      </c>
      <c r="K228" s="19"/>
      <c r="N228" s="19"/>
    </row>
    <row r="229" spans="2:14" x14ac:dyDescent="0.25">
      <c r="B229" s="19">
        <v>42016</v>
      </c>
      <c r="C229">
        <v>41.28</v>
      </c>
      <c r="E229" s="19">
        <v>42016</v>
      </c>
      <c r="F229">
        <v>45.295000000000002</v>
      </c>
      <c r="H229" s="19">
        <v>42016</v>
      </c>
      <c r="I229">
        <v>9.9949999999999992</v>
      </c>
      <c r="K229" s="19"/>
      <c r="N229" s="19"/>
    </row>
    <row r="230" spans="2:14" x14ac:dyDescent="0.25">
      <c r="B230" s="19">
        <v>42017</v>
      </c>
      <c r="C230">
        <v>41.7</v>
      </c>
      <c r="E230" s="19">
        <v>42017</v>
      </c>
      <c r="F230">
        <v>46.344999999999999</v>
      </c>
      <c r="H230" s="19">
        <v>42017</v>
      </c>
      <c r="I230">
        <v>10.36</v>
      </c>
      <c r="K230" s="19"/>
      <c r="N230" s="19"/>
    </row>
    <row r="231" spans="2:14" x14ac:dyDescent="0.25">
      <c r="B231" s="19">
        <v>42018</v>
      </c>
      <c r="C231">
        <v>40.814999999999998</v>
      </c>
      <c r="E231" s="19">
        <v>42018</v>
      </c>
      <c r="F231">
        <v>44.935000000000002</v>
      </c>
      <c r="H231" s="19">
        <v>42018</v>
      </c>
      <c r="I231">
        <v>10.305</v>
      </c>
      <c r="K231" s="19"/>
      <c r="N231" s="19"/>
    </row>
    <row r="232" spans="2:14" x14ac:dyDescent="0.25">
      <c r="B232" s="19">
        <v>42019</v>
      </c>
      <c r="C232">
        <v>41.95</v>
      </c>
      <c r="E232" s="19">
        <v>42019</v>
      </c>
      <c r="F232">
        <v>46.085000000000001</v>
      </c>
      <c r="H232" s="19">
        <v>42019</v>
      </c>
      <c r="I232">
        <v>10.525</v>
      </c>
      <c r="K232" s="19"/>
      <c r="N232" s="19"/>
    </row>
    <row r="233" spans="2:14" x14ac:dyDescent="0.25">
      <c r="B233" s="19">
        <v>42020</v>
      </c>
      <c r="C233">
        <v>43.3</v>
      </c>
      <c r="E233" s="19">
        <v>42020</v>
      </c>
      <c r="F233">
        <v>45.99</v>
      </c>
      <c r="H233" s="19">
        <v>42020</v>
      </c>
      <c r="I233">
        <v>10.73</v>
      </c>
      <c r="K233" s="19"/>
      <c r="N233" s="19"/>
    </row>
    <row r="234" spans="2:14" x14ac:dyDescent="0.25">
      <c r="B234" s="19">
        <v>42023</v>
      </c>
      <c r="C234">
        <v>43.055</v>
      </c>
      <c r="E234" s="19">
        <v>42023</v>
      </c>
      <c r="F234">
        <v>46.615000000000002</v>
      </c>
      <c r="H234" s="19">
        <v>42023</v>
      </c>
      <c r="I234">
        <v>10.72</v>
      </c>
      <c r="K234" s="19"/>
      <c r="N234" s="19"/>
    </row>
    <row r="235" spans="2:14" x14ac:dyDescent="0.25">
      <c r="B235" s="19">
        <v>42024</v>
      </c>
      <c r="C235">
        <v>43.57</v>
      </c>
      <c r="E235" s="19">
        <v>42024</v>
      </c>
      <c r="F235">
        <v>47.74</v>
      </c>
      <c r="H235" s="19">
        <v>42024</v>
      </c>
      <c r="I235">
        <v>10.88</v>
      </c>
      <c r="K235" s="19"/>
      <c r="N235" s="19"/>
    </row>
    <row r="236" spans="2:14" x14ac:dyDescent="0.25">
      <c r="B236" s="19">
        <v>42025</v>
      </c>
      <c r="C236">
        <v>44.45</v>
      </c>
      <c r="E236" s="19">
        <v>42025</v>
      </c>
      <c r="F236">
        <v>48.27</v>
      </c>
      <c r="H236" s="19">
        <v>42025</v>
      </c>
      <c r="I236">
        <v>11.05</v>
      </c>
      <c r="K236" s="19"/>
      <c r="N236" s="19"/>
    </row>
    <row r="237" spans="2:14" x14ac:dyDescent="0.25">
      <c r="B237" s="19">
        <v>42026</v>
      </c>
      <c r="C237">
        <v>45.064999999999998</v>
      </c>
      <c r="E237" s="19">
        <v>42026</v>
      </c>
      <c r="F237">
        <v>49.4</v>
      </c>
      <c r="H237" s="19">
        <v>42026</v>
      </c>
      <c r="I237">
        <v>11.43</v>
      </c>
      <c r="K237" s="19"/>
      <c r="N237" s="19"/>
    </row>
    <row r="238" spans="2:14" x14ac:dyDescent="0.25">
      <c r="B238" s="19">
        <v>42027</v>
      </c>
      <c r="C238">
        <v>45.945</v>
      </c>
      <c r="E238" s="19">
        <v>42027</v>
      </c>
      <c r="F238">
        <v>49</v>
      </c>
      <c r="H238" s="19">
        <v>42027</v>
      </c>
      <c r="I238">
        <v>11.25</v>
      </c>
      <c r="K238" s="19"/>
      <c r="N238" s="19"/>
    </row>
    <row r="239" spans="2:14" x14ac:dyDescent="0.25">
      <c r="B239" s="19">
        <v>42030</v>
      </c>
      <c r="C239">
        <v>46.685000000000002</v>
      </c>
      <c r="E239" s="19">
        <v>42030</v>
      </c>
      <c r="F239">
        <v>49.33</v>
      </c>
      <c r="H239" s="19">
        <v>42030</v>
      </c>
      <c r="I239">
        <v>11.15</v>
      </c>
      <c r="K239" s="19"/>
      <c r="N239" s="19"/>
    </row>
    <row r="240" spans="2:14" x14ac:dyDescent="0.25">
      <c r="B240" s="19">
        <v>42031</v>
      </c>
      <c r="C240">
        <v>46.39</v>
      </c>
      <c r="E240" s="19">
        <v>42031</v>
      </c>
      <c r="F240">
        <v>48.844999999999999</v>
      </c>
      <c r="H240" s="19">
        <v>42031</v>
      </c>
      <c r="I240">
        <v>10.984999999999999</v>
      </c>
      <c r="K240" s="19"/>
      <c r="N240" s="19"/>
    </row>
    <row r="241" spans="2:14" x14ac:dyDescent="0.25">
      <c r="B241" s="19">
        <v>42032</v>
      </c>
      <c r="C241">
        <v>45.564999999999998</v>
      </c>
      <c r="E241" s="19">
        <v>42032</v>
      </c>
      <c r="F241">
        <v>47.5</v>
      </c>
      <c r="H241" s="19">
        <v>42032</v>
      </c>
      <c r="I241">
        <v>10.785</v>
      </c>
      <c r="K241" s="19"/>
      <c r="N241" s="19"/>
    </row>
    <row r="242" spans="2:14" x14ac:dyDescent="0.25">
      <c r="B242" s="19">
        <v>42033</v>
      </c>
      <c r="C242">
        <v>44.91</v>
      </c>
      <c r="E242" s="19">
        <v>42033</v>
      </c>
      <c r="F242">
        <v>47.65</v>
      </c>
      <c r="H242" s="19">
        <v>42033</v>
      </c>
      <c r="I242">
        <v>10.76</v>
      </c>
      <c r="K242" s="19"/>
      <c r="N242" s="19"/>
    </row>
    <row r="243" spans="2:14" x14ac:dyDescent="0.25">
      <c r="B243" s="19">
        <v>42034</v>
      </c>
      <c r="C243">
        <v>45.5</v>
      </c>
      <c r="E243" s="19">
        <v>42034</v>
      </c>
      <c r="F243">
        <v>46.774999999999999</v>
      </c>
      <c r="H243" s="19">
        <v>42034</v>
      </c>
      <c r="I243">
        <v>10.565</v>
      </c>
      <c r="K243" s="19"/>
      <c r="N243" s="19"/>
    </row>
    <row r="244" spans="2:14" x14ac:dyDescent="0.25">
      <c r="B244" s="19">
        <v>42037</v>
      </c>
      <c r="C244">
        <v>47</v>
      </c>
      <c r="E244" s="19">
        <v>42037</v>
      </c>
      <c r="F244">
        <v>47.195</v>
      </c>
      <c r="H244" s="19">
        <v>42037</v>
      </c>
      <c r="I244">
        <v>10.65</v>
      </c>
      <c r="K244" s="19"/>
      <c r="N244" s="19"/>
    </row>
    <row r="245" spans="2:14" x14ac:dyDescent="0.25">
      <c r="B245" s="19">
        <v>42038</v>
      </c>
      <c r="C245">
        <v>48.28</v>
      </c>
      <c r="E245" s="19">
        <v>42038</v>
      </c>
      <c r="F245">
        <v>48.405000000000001</v>
      </c>
      <c r="H245" s="19">
        <v>42038</v>
      </c>
      <c r="I245">
        <v>10.994999999999999</v>
      </c>
      <c r="K245" s="19"/>
      <c r="N245" s="19"/>
    </row>
    <row r="246" spans="2:14" x14ac:dyDescent="0.25">
      <c r="B246" s="19">
        <v>42039</v>
      </c>
      <c r="C246">
        <v>47.75</v>
      </c>
      <c r="E246" s="19">
        <v>42039</v>
      </c>
      <c r="F246">
        <v>48.805</v>
      </c>
      <c r="H246" s="19">
        <v>42039</v>
      </c>
      <c r="I246">
        <v>10.83</v>
      </c>
      <c r="K246" s="19"/>
      <c r="N246" s="19"/>
    </row>
    <row r="247" spans="2:14" x14ac:dyDescent="0.25">
      <c r="B247" s="19">
        <v>42040</v>
      </c>
      <c r="C247">
        <v>48.08</v>
      </c>
      <c r="E247" s="19">
        <v>42040</v>
      </c>
      <c r="F247">
        <v>47.005000000000003</v>
      </c>
      <c r="H247" s="19">
        <v>42040</v>
      </c>
      <c r="I247">
        <v>10.86</v>
      </c>
      <c r="K247" s="19"/>
      <c r="N247" s="19"/>
    </row>
    <row r="248" spans="2:14" x14ac:dyDescent="0.25">
      <c r="B248" s="19">
        <v>42041</v>
      </c>
      <c r="C248">
        <v>47.68</v>
      </c>
      <c r="E248" s="19">
        <v>42041</v>
      </c>
      <c r="F248">
        <v>47.17</v>
      </c>
      <c r="H248" s="19">
        <v>42041</v>
      </c>
      <c r="I248">
        <v>10.975</v>
      </c>
      <c r="K248" s="19"/>
      <c r="N248" s="19"/>
    </row>
    <row r="249" spans="2:14" x14ac:dyDescent="0.25">
      <c r="B249" s="19">
        <v>42044</v>
      </c>
      <c r="C249">
        <v>47.95</v>
      </c>
      <c r="E249" s="19">
        <v>42044</v>
      </c>
      <c r="F249">
        <v>45.7</v>
      </c>
      <c r="H249" s="19">
        <v>42044</v>
      </c>
      <c r="I249">
        <v>10.845000000000001</v>
      </c>
      <c r="K249" s="19"/>
      <c r="N249" s="19"/>
    </row>
    <row r="250" spans="2:14" x14ac:dyDescent="0.25">
      <c r="B250" s="19">
        <v>42045</v>
      </c>
      <c r="C250">
        <v>47.35</v>
      </c>
      <c r="E250" s="19">
        <v>42045</v>
      </c>
      <c r="F250">
        <v>46.17</v>
      </c>
      <c r="H250" s="19">
        <v>42045</v>
      </c>
      <c r="I250">
        <v>11</v>
      </c>
      <c r="K250" s="19"/>
      <c r="N250" s="19"/>
    </row>
    <row r="251" spans="2:14" x14ac:dyDescent="0.25">
      <c r="B251" s="19">
        <v>42046</v>
      </c>
      <c r="C251">
        <v>46.95</v>
      </c>
      <c r="E251" s="19">
        <v>42046</v>
      </c>
      <c r="F251">
        <v>46.064999999999998</v>
      </c>
      <c r="H251" s="19">
        <v>42046</v>
      </c>
      <c r="I251">
        <v>10.835000000000001</v>
      </c>
      <c r="K251" s="19"/>
      <c r="N251" s="19"/>
    </row>
    <row r="252" spans="2:14" x14ac:dyDescent="0.25">
      <c r="B252" s="19">
        <v>42047</v>
      </c>
      <c r="C252">
        <v>47.35</v>
      </c>
      <c r="E252" s="19">
        <v>42047</v>
      </c>
      <c r="F252">
        <v>47.25</v>
      </c>
      <c r="H252" s="19">
        <v>42047</v>
      </c>
      <c r="I252">
        <v>11.335000000000001</v>
      </c>
      <c r="K252" s="19"/>
      <c r="N252" s="19"/>
    </row>
    <row r="253" spans="2:14" x14ac:dyDescent="0.25">
      <c r="B253" s="19">
        <v>42048</v>
      </c>
      <c r="C253">
        <v>47.375</v>
      </c>
      <c r="E253" s="19">
        <v>42048</v>
      </c>
      <c r="F253">
        <v>48.41</v>
      </c>
      <c r="H253" s="19">
        <v>42048</v>
      </c>
      <c r="I253">
        <v>11.965</v>
      </c>
      <c r="K253" s="19"/>
      <c r="N253" s="19"/>
    </row>
    <row r="254" spans="2:14" x14ac:dyDescent="0.25">
      <c r="B254" s="19">
        <v>42051</v>
      </c>
      <c r="C254">
        <v>47.115000000000002</v>
      </c>
      <c r="E254" s="19">
        <v>42051</v>
      </c>
      <c r="F254">
        <v>49.174999999999997</v>
      </c>
      <c r="H254" s="19">
        <v>42051</v>
      </c>
      <c r="I254">
        <v>11.914999999999999</v>
      </c>
      <c r="K254" s="19"/>
      <c r="N254" s="19"/>
    </row>
    <row r="255" spans="2:14" x14ac:dyDescent="0.25">
      <c r="B255" s="19">
        <v>42052</v>
      </c>
      <c r="C255">
        <v>47.28</v>
      </c>
      <c r="E255" s="19">
        <v>42052</v>
      </c>
      <c r="F255">
        <v>49.52</v>
      </c>
      <c r="H255" s="19">
        <v>42052</v>
      </c>
      <c r="I255">
        <v>11.975</v>
      </c>
      <c r="K255" s="19"/>
      <c r="N255" s="19"/>
    </row>
    <row r="256" spans="2:14" x14ac:dyDescent="0.25">
      <c r="B256" s="19">
        <v>42053</v>
      </c>
      <c r="C256">
        <v>47.265000000000001</v>
      </c>
      <c r="E256" s="19">
        <v>42053</v>
      </c>
      <c r="F256">
        <v>50.91</v>
      </c>
      <c r="H256" s="19">
        <v>42053</v>
      </c>
      <c r="I256">
        <v>12.885</v>
      </c>
      <c r="K256" s="19"/>
      <c r="N256" s="19"/>
    </row>
    <row r="257" spans="2:14" x14ac:dyDescent="0.25">
      <c r="B257" s="19">
        <v>42054</v>
      </c>
      <c r="C257">
        <v>45.98</v>
      </c>
      <c r="E257" s="19">
        <v>42054</v>
      </c>
      <c r="F257">
        <v>51.43</v>
      </c>
      <c r="H257" s="19">
        <v>42054</v>
      </c>
      <c r="I257">
        <v>12.78</v>
      </c>
      <c r="K257" s="19"/>
      <c r="N257" s="19"/>
    </row>
    <row r="258" spans="2:14" x14ac:dyDescent="0.25">
      <c r="B258" s="19">
        <v>42055</v>
      </c>
      <c r="C258">
        <v>46.034999999999997</v>
      </c>
      <c r="E258" s="19">
        <v>42055</v>
      </c>
      <c r="F258">
        <v>51.29</v>
      </c>
      <c r="H258" s="19">
        <v>42055</v>
      </c>
      <c r="I258">
        <v>12.895</v>
      </c>
      <c r="K258" s="19"/>
      <c r="N258" s="19"/>
    </row>
    <row r="259" spans="2:14" x14ac:dyDescent="0.25">
      <c r="B259" s="19">
        <v>42058</v>
      </c>
      <c r="C259">
        <v>46.29</v>
      </c>
      <c r="E259" s="19">
        <v>42058</v>
      </c>
      <c r="F259">
        <v>51.76</v>
      </c>
      <c r="H259" s="19">
        <v>42058</v>
      </c>
      <c r="I259">
        <v>12.77</v>
      </c>
      <c r="K259" s="19"/>
      <c r="N259" s="19"/>
    </row>
    <row r="260" spans="2:14" x14ac:dyDescent="0.25">
      <c r="B260" s="19">
        <v>42059</v>
      </c>
      <c r="C260">
        <v>47.185000000000002</v>
      </c>
      <c r="E260" s="19">
        <v>42059</v>
      </c>
      <c r="F260">
        <v>51.98</v>
      </c>
      <c r="H260" s="19">
        <v>42059</v>
      </c>
      <c r="I260">
        <v>12.81</v>
      </c>
      <c r="K260" s="19"/>
      <c r="N260" s="19"/>
    </row>
    <row r="261" spans="2:14" x14ac:dyDescent="0.25">
      <c r="B261" s="19">
        <v>42060</v>
      </c>
      <c r="C261">
        <v>47.35</v>
      </c>
      <c r="E261" s="19">
        <v>42060</v>
      </c>
      <c r="F261">
        <v>51</v>
      </c>
      <c r="H261" s="19">
        <v>42060</v>
      </c>
      <c r="I261">
        <v>12.54</v>
      </c>
      <c r="K261" s="19"/>
      <c r="N261" s="19"/>
    </row>
    <row r="262" spans="2:14" x14ac:dyDescent="0.25">
      <c r="B262" s="19">
        <v>42061</v>
      </c>
      <c r="C262">
        <v>47.25</v>
      </c>
      <c r="E262" s="19">
        <v>42061</v>
      </c>
      <c r="F262">
        <v>51.61</v>
      </c>
      <c r="H262" s="19">
        <v>42061</v>
      </c>
      <c r="I262">
        <v>12.61</v>
      </c>
      <c r="K262" s="19"/>
      <c r="N262" s="19"/>
    </row>
    <row r="263" spans="2:14" x14ac:dyDescent="0.25">
      <c r="B263" s="19">
        <v>42062</v>
      </c>
      <c r="C263">
        <v>48.234999999999999</v>
      </c>
      <c r="E263" s="19">
        <v>42062</v>
      </c>
      <c r="F263">
        <v>52.09</v>
      </c>
      <c r="H263" s="19">
        <v>42062</v>
      </c>
      <c r="I263">
        <v>12.57</v>
      </c>
      <c r="K263" s="19"/>
      <c r="N263" s="19"/>
    </row>
    <row r="264" spans="2:14" x14ac:dyDescent="0.25">
      <c r="B264" s="19">
        <v>42065</v>
      </c>
      <c r="C264">
        <v>47.19</v>
      </c>
      <c r="E264" s="19">
        <v>42065</v>
      </c>
      <c r="F264">
        <v>52.54</v>
      </c>
      <c r="H264" s="19">
        <v>42065</v>
      </c>
      <c r="I264">
        <v>12.744999999999999</v>
      </c>
      <c r="K264" s="19"/>
      <c r="N264" s="19"/>
    </row>
    <row r="265" spans="2:14" x14ac:dyDescent="0.25">
      <c r="B265" s="19">
        <v>42066</v>
      </c>
      <c r="C265">
        <v>47.125</v>
      </c>
      <c r="E265" s="19">
        <v>42066</v>
      </c>
      <c r="F265">
        <v>50.91</v>
      </c>
      <c r="H265" s="19">
        <v>42066</v>
      </c>
      <c r="I265">
        <v>12.585000000000001</v>
      </c>
      <c r="K265" s="19"/>
      <c r="N265" s="19"/>
    </row>
    <row r="266" spans="2:14" x14ac:dyDescent="0.25">
      <c r="B266" s="19">
        <v>42067</v>
      </c>
      <c r="C266">
        <v>47.435000000000002</v>
      </c>
      <c r="E266" s="19">
        <v>42067</v>
      </c>
      <c r="F266">
        <v>51.92</v>
      </c>
      <c r="H266" s="19">
        <v>42067</v>
      </c>
      <c r="I266">
        <v>12.785</v>
      </c>
      <c r="K266" s="19"/>
      <c r="N266" s="19"/>
    </row>
    <row r="267" spans="2:14" x14ac:dyDescent="0.25">
      <c r="B267" s="19">
        <v>42068</v>
      </c>
      <c r="C267">
        <v>47.47</v>
      </c>
      <c r="E267" s="19">
        <v>42068</v>
      </c>
      <c r="F267">
        <v>52.14</v>
      </c>
      <c r="H267" s="19">
        <v>42068</v>
      </c>
      <c r="I267">
        <v>12.805</v>
      </c>
      <c r="K267" s="19"/>
      <c r="N267" s="19"/>
    </row>
    <row r="268" spans="2:14" x14ac:dyDescent="0.25">
      <c r="B268" s="19">
        <v>42069</v>
      </c>
      <c r="C268">
        <v>47.005000000000003</v>
      </c>
      <c r="E268" s="19">
        <v>42069</v>
      </c>
      <c r="F268">
        <v>52.08</v>
      </c>
      <c r="H268" s="19">
        <v>42069</v>
      </c>
      <c r="I268">
        <v>13.05</v>
      </c>
      <c r="K268" s="19"/>
      <c r="N268" s="19"/>
    </row>
    <row r="269" spans="2:14" x14ac:dyDescent="0.25">
      <c r="B269" s="19">
        <v>42072</v>
      </c>
      <c r="C269">
        <v>46.685000000000002</v>
      </c>
      <c r="E269" s="19">
        <v>42072</v>
      </c>
      <c r="F269">
        <v>51.96</v>
      </c>
      <c r="H269" s="19">
        <v>42072</v>
      </c>
      <c r="I269">
        <v>12.95</v>
      </c>
      <c r="K269" s="19"/>
      <c r="N269" s="19"/>
    </row>
    <row r="270" spans="2:14" x14ac:dyDescent="0.25">
      <c r="B270" s="19">
        <v>42073</v>
      </c>
      <c r="C270">
        <v>45.18</v>
      </c>
      <c r="E270" s="19">
        <v>42073</v>
      </c>
      <c r="F270">
        <v>51.04</v>
      </c>
      <c r="H270" s="19">
        <v>42073</v>
      </c>
      <c r="I270">
        <v>12.72</v>
      </c>
      <c r="K270" s="19"/>
      <c r="N270" s="19"/>
    </row>
    <row r="271" spans="2:14" x14ac:dyDescent="0.25">
      <c r="B271" s="19">
        <v>42074</v>
      </c>
      <c r="C271">
        <v>45.465000000000003</v>
      </c>
      <c r="E271" s="19">
        <v>42074</v>
      </c>
      <c r="F271">
        <v>52.01</v>
      </c>
      <c r="H271" s="19">
        <v>42074</v>
      </c>
      <c r="I271">
        <v>13.09</v>
      </c>
      <c r="K271" s="19"/>
      <c r="N271" s="19"/>
    </row>
    <row r="272" spans="2:14" x14ac:dyDescent="0.25">
      <c r="B272" s="19">
        <v>42075</v>
      </c>
      <c r="C272">
        <v>45.44</v>
      </c>
      <c r="E272" s="19">
        <v>42075</v>
      </c>
      <c r="F272">
        <v>51.6</v>
      </c>
      <c r="H272" s="19">
        <v>42075</v>
      </c>
      <c r="I272">
        <v>13.06</v>
      </c>
      <c r="K272" s="19"/>
      <c r="N272" s="19"/>
    </row>
    <row r="273" spans="2:14" x14ac:dyDescent="0.25">
      <c r="B273" s="19">
        <v>42076</v>
      </c>
      <c r="C273">
        <v>44.645000000000003</v>
      </c>
      <c r="E273" s="19">
        <v>42076</v>
      </c>
      <c r="F273">
        <v>51.68</v>
      </c>
      <c r="H273" s="19">
        <v>42076</v>
      </c>
      <c r="I273">
        <v>13.1</v>
      </c>
      <c r="K273" s="19"/>
      <c r="N273" s="19"/>
    </row>
    <row r="274" spans="2:14" x14ac:dyDescent="0.25">
      <c r="B274" s="19">
        <v>42079</v>
      </c>
      <c r="C274">
        <v>44.57</v>
      </c>
      <c r="E274" s="19">
        <v>42079</v>
      </c>
      <c r="F274">
        <v>52.44</v>
      </c>
      <c r="H274" s="19">
        <v>42079</v>
      </c>
      <c r="I274">
        <v>13.285</v>
      </c>
      <c r="K274" s="19"/>
      <c r="N274" s="19"/>
    </row>
    <row r="275" spans="2:14" x14ac:dyDescent="0.25">
      <c r="B275" s="19">
        <v>42080</v>
      </c>
      <c r="C275">
        <v>45.21</v>
      </c>
      <c r="E275" s="19">
        <v>42080</v>
      </c>
      <c r="F275">
        <v>52.28</v>
      </c>
      <c r="H275" s="19">
        <v>42080</v>
      </c>
      <c r="I275">
        <v>13.23</v>
      </c>
      <c r="K275" s="19"/>
      <c r="N275" s="19"/>
    </row>
    <row r="276" spans="2:14" x14ac:dyDescent="0.25">
      <c r="B276" s="19">
        <v>42081</v>
      </c>
      <c r="C276">
        <v>46</v>
      </c>
      <c r="E276" s="19">
        <v>42081</v>
      </c>
      <c r="F276">
        <v>52.25</v>
      </c>
      <c r="H276" s="19">
        <v>42081</v>
      </c>
      <c r="I276">
        <v>13.074999999999999</v>
      </c>
      <c r="K276" s="19"/>
      <c r="N276" s="19"/>
    </row>
    <row r="277" spans="2:14" x14ac:dyDescent="0.25">
      <c r="B277" s="19">
        <v>42082</v>
      </c>
      <c r="C277">
        <v>46.475000000000001</v>
      </c>
      <c r="E277" s="19">
        <v>42082</v>
      </c>
      <c r="F277">
        <v>52.96</v>
      </c>
      <c r="H277" s="19">
        <v>42082</v>
      </c>
      <c r="I277">
        <v>13.23</v>
      </c>
      <c r="K277" s="19"/>
      <c r="N277" s="19"/>
    </row>
    <row r="278" spans="2:14" x14ac:dyDescent="0.25">
      <c r="B278" s="19">
        <v>42083</v>
      </c>
      <c r="C278">
        <v>47.634999999999998</v>
      </c>
      <c r="E278" s="19">
        <v>42083</v>
      </c>
      <c r="F278">
        <v>53.98</v>
      </c>
      <c r="H278" s="19">
        <v>42083</v>
      </c>
      <c r="I278">
        <v>13.414999999999999</v>
      </c>
      <c r="K278" s="19"/>
      <c r="N278" s="19"/>
    </row>
    <row r="279" spans="2:14" x14ac:dyDescent="0.25">
      <c r="B279" s="19">
        <v>42086</v>
      </c>
      <c r="C279">
        <v>46.95</v>
      </c>
      <c r="E279" s="19">
        <v>42086</v>
      </c>
      <c r="F279">
        <v>54.54</v>
      </c>
      <c r="H279" s="19">
        <v>42086</v>
      </c>
      <c r="I279">
        <v>13.515000000000001</v>
      </c>
      <c r="K279" s="19"/>
      <c r="N279" s="19"/>
    </row>
    <row r="280" spans="2:14" x14ac:dyDescent="0.25">
      <c r="B280" s="19">
        <v>42087</v>
      </c>
      <c r="C280">
        <v>46.884999999999998</v>
      </c>
      <c r="E280" s="19">
        <v>42087</v>
      </c>
      <c r="F280">
        <v>55.8</v>
      </c>
      <c r="H280" s="19">
        <v>42087</v>
      </c>
      <c r="I280">
        <v>13.74</v>
      </c>
      <c r="K280" s="19"/>
      <c r="N280" s="19"/>
    </row>
    <row r="281" spans="2:14" x14ac:dyDescent="0.25">
      <c r="B281" s="19">
        <v>42088</v>
      </c>
      <c r="C281">
        <v>46.505000000000003</v>
      </c>
      <c r="E281" s="19">
        <v>42088</v>
      </c>
      <c r="F281">
        <v>54.85</v>
      </c>
      <c r="H281" s="19">
        <v>42088</v>
      </c>
      <c r="I281">
        <v>13.67</v>
      </c>
      <c r="K281" s="19"/>
      <c r="N281" s="19"/>
    </row>
    <row r="282" spans="2:14" x14ac:dyDescent="0.25">
      <c r="B282" s="19">
        <v>42089</v>
      </c>
      <c r="C282">
        <v>46.59</v>
      </c>
      <c r="E282" s="19">
        <v>42089</v>
      </c>
      <c r="F282">
        <v>55.12</v>
      </c>
      <c r="H282" s="19">
        <v>42089</v>
      </c>
      <c r="I282">
        <v>13.46</v>
      </c>
      <c r="K282" s="19"/>
      <c r="N282" s="19"/>
    </row>
    <row r="283" spans="2:14" x14ac:dyDescent="0.25">
      <c r="B283" s="19">
        <v>42090</v>
      </c>
      <c r="C283">
        <v>46.594999999999999</v>
      </c>
      <c r="E283" s="19">
        <v>42090</v>
      </c>
      <c r="F283">
        <v>56.19</v>
      </c>
      <c r="H283" s="19">
        <v>42090</v>
      </c>
      <c r="I283">
        <v>13.61</v>
      </c>
      <c r="K283" s="19"/>
      <c r="N283" s="19"/>
    </row>
    <row r="284" spans="2:14" x14ac:dyDescent="0.25">
      <c r="B284" s="19">
        <v>42093</v>
      </c>
      <c r="C284">
        <v>47</v>
      </c>
      <c r="E284" s="19">
        <v>42093</v>
      </c>
      <c r="F284">
        <v>57.26</v>
      </c>
      <c r="H284" s="19">
        <v>42093</v>
      </c>
      <c r="I284">
        <v>13.895</v>
      </c>
      <c r="K284" s="19"/>
      <c r="N284" s="19"/>
    </row>
    <row r="285" spans="2:14" x14ac:dyDescent="0.25">
      <c r="B285" s="19">
        <v>42094</v>
      </c>
      <c r="C285">
        <v>46.274999999999999</v>
      </c>
      <c r="E285" s="19">
        <v>42094</v>
      </c>
      <c r="F285">
        <v>56.57</v>
      </c>
      <c r="H285" s="19">
        <v>42094</v>
      </c>
      <c r="I285">
        <v>13.675000000000001</v>
      </c>
      <c r="K285" s="19"/>
      <c r="N285" s="19"/>
    </row>
    <row r="286" spans="2:14" x14ac:dyDescent="0.25">
      <c r="B286" s="19">
        <v>42095</v>
      </c>
      <c r="C286">
        <v>46.37</v>
      </c>
      <c r="E286" s="19">
        <v>42095</v>
      </c>
      <c r="F286">
        <v>57.03</v>
      </c>
      <c r="H286" s="19">
        <v>42095</v>
      </c>
      <c r="I286">
        <v>14.1</v>
      </c>
      <c r="K286" s="19"/>
      <c r="N286" s="19"/>
    </row>
    <row r="287" spans="2:14" x14ac:dyDescent="0.25">
      <c r="B287" s="19">
        <v>42096</v>
      </c>
      <c r="C287">
        <v>45.844999999999999</v>
      </c>
      <c r="E287" s="19">
        <v>42096</v>
      </c>
      <c r="F287">
        <v>57.24</v>
      </c>
      <c r="H287" s="19">
        <v>42096</v>
      </c>
      <c r="I287">
        <v>14.105</v>
      </c>
      <c r="K287" s="19"/>
      <c r="N287" s="19"/>
    </row>
    <row r="288" spans="2:14" x14ac:dyDescent="0.25">
      <c r="B288" s="19">
        <v>42101</v>
      </c>
      <c r="C288">
        <v>47.594999999999999</v>
      </c>
      <c r="E288" s="19">
        <v>42101</v>
      </c>
      <c r="F288">
        <v>57.18</v>
      </c>
      <c r="H288" s="19">
        <v>42101</v>
      </c>
      <c r="I288">
        <v>14.125</v>
      </c>
      <c r="K288" s="19"/>
      <c r="N288" s="19"/>
    </row>
    <row r="289" spans="2:14" x14ac:dyDescent="0.25">
      <c r="B289" s="19">
        <v>42102</v>
      </c>
      <c r="C289">
        <v>47.05</v>
      </c>
      <c r="E289" s="19">
        <v>42102</v>
      </c>
      <c r="F289">
        <v>57.67</v>
      </c>
      <c r="H289" s="19">
        <v>42102</v>
      </c>
      <c r="I289">
        <v>14.135</v>
      </c>
      <c r="K289" s="19"/>
      <c r="N289" s="19"/>
    </row>
    <row r="290" spans="2:14" x14ac:dyDescent="0.25">
      <c r="B290" s="19">
        <v>42103</v>
      </c>
      <c r="C290">
        <v>47.965000000000003</v>
      </c>
      <c r="E290" s="19">
        <v>42103</v>
      </c>
      <c r="F290">
        <v>57.93</v>
      </c>
      <c r="H290" s="19">
        <v>42103</v>
      </c>
      <c r="I290">
        <v>14.25</v>
      </c>
      <c r="K290" s="19"/>
      <c r="N290" s="19"/>
    </row>
    <row r="291" spans="2:14" x14ac:dyDescent="0.25">
      <c r="B291" s="19">
        <v>42104</v>
      </c>
      <c r="C291">
        <v>48.52</v>
      </c>
      <c r="E291" s="19">
        <v>42104</v>
      </c>
      <c r="F291">
        <v>57.25</v>
      </c>
      <c r="H291" s="19">
        <v>42104</v>
      </c>
      <c r="I291">
        <v>14.185</v>
      </c>
      <c r="K291" s="19"/>
      <c r="N291" s="19"/>
    </row>
    <row r="292" spans="2:14" x14ac:dyDescent="0.25">
      <c r="B292" s="19">
        <v>42107</v>
      </c>
      <c r="C292">
        <v>48.76</v>
      </c>
      <c r="E292" s="19">
        <v>42107</v>
      </c>
      <c r="F292">
        <v>57.62</v>
      </c>
      <c r="H292" s="19">
        <v>42107</v>
      </c>
      <c r="I292">
        <v>14.15</v>
      </c>
      <c r="K292" s="19"/>
      <c r="N292" s="19"/>
    </row>
    <row r="293" spans="2:14" x14ac:dyDescent="0.25">
      <c r="B293" s="19">
        <v>42108</v>
      </c>
      <c r="C293">
        <v>48.73</v>
      </c>
      <c r="E293" s="19">
        <v>42108</v>
      </c>
      <c r="F293">
        <v>56.8</v>
      </c>
      <c r="H293" s="19">
        <v>42108</v>
      </c>
      <c r="I293">
        <v>13.98</v>
      </c>
      <c r="K293" s="19"/>
      <c r="N293" s="19"/>
    </row>
    <row r="294" spans="2:14" x14ac:dyDescent="0.25">
      <c r="B294" s="19">
        <v>42109</v>
      </c>
      <c r="C294">
        <v>49.74</v>
      </c>
      <c r="E294" s="19">
        <v>42109</v>
      </c>
      <c r="F294">
        <v>57.14</v>
      </c>
      <c r="H294" s="19">
        <v>42109</v>
      </c>
      <c r="I294">
        <v>14.215</v>
      </c>
      <c r="K294" s="19"/>
      <c r="N294" s="19"/>
    </row>
    <row r="295" spans="2:14" x14ac:dyDescent="0.25">
      <c r="B295" s="19">
        <v>42110</v>
      </c>
      <c r="C295">
        <v>49.31</v>
      </c>
      <c r="E295" s="19">
        <v>42110</v>
      </c>
      <c r="F295">
        <v>56.33</v>
      </c>
      <c r="H295" s="19">
        <v>42110</v>
      </c>
      <c r="I295">
        <v>13.79</v>
      </c>
      <c r="K295" s="19"/>
      <c r="N295" s="19"/>
    </row>
    <row r="296" spans="2:14" x14ac:dyDescent="0.25">
      <c r="B296" s="19">
        <v>42111</v>
      </c>
      <c r="C296">
        <v>48.87</v>
      </c>
      <c r="E296" s="19">
        <v>42111</v>
      </c>
      <c r="F296">
        <v>55.11</v>
      </c>
      <c r="H296" s="19">
        <v>42111</v>
      </c>
      <c r="I296">
        <v>13.4</v>
      </c>
      <c r="K296" s="19"/>
      <c r="N296" s="19"/>
    </row>
    <row r="297" spans="2:14" x14ac:dyDescent="0.25">
      <c r="B297" s="19">
        <v>42114</v>
      </c>
      <c r="C297">
        <v>49.38</v>
      </c>
      <c r="E297" s="19">
        <v>42114</v>
      </c>
      <c r="F297">
        <v>56.07</v>
      </c>
      <c r="H297" s="19">
        <v>42114</v>
      </c>
      <c r="I297">
        <v>13.565</v>
      </c>
      <c r="K297" s="19"/>
      <c r="N297" s="19"/>
    </row>
    <row r="298" spans="2:14" x14ac:dyDescent="0.25">
      <c r="B298" s="19">
        <v>42115</v>
      </c>
      <c r="C298">
        <v>48.695</v>
      </c>
      <c r="E298" s="19">
        <v>42115</v>
      </c>
      <c r="F298">
        <v>55.59</v>
      </c>
      <c r="H298" s="19">
        <v>42115</v>
      </c>
      <c r="I298">
        <v>13.425000000000001</v>
      </c>
      <c r="K298" s="19"/>
      <c r="N298" s="19"/>
    </row>
    <row r="299" spans="2:14" x14ac:dyDescent="0.25">
      <c r="B299" s="19">
        <v>42116</v>
      </c>
      <c r="C299">
        <v>48.424999999999997</v>
      </c>
      <c r="E299" s="19">
        <v>42116</v>
      </c>
      <c r="F299">
        <v>58.01</v>
      </c>
      <c r="H299" s="19">
        <v>42116</v>
      </c>
      <c r="I299">
        <v>13.69</v>
      </c>
      <c r="K299" s="19"/>
      <c r="N299" s="19"/>
    </row>
    <row r="300" spans="2:14" x14ac:dyDescent="0.25">
      <c r="B300" s="19">
        <v>42117</v>
      </c>
      <c r="C300">
        <v>48.414999999999999</v>
      </c>
      <c r="E300" s="19">
        <v>42117</v>
      </c>
      <c r="F300">
        <v>58.01</v>
      </c>
      <c r="H300" s="19">
        <v>42117</v>
      </c>
      <c r="I300">
        <v>13.695</v>
      </c>
      <c r="K300" s="19"/>
      <c r="N300" s="19"/>
    </row>
    <row r="301" spans="2:14" x14ac:dyDescent="0.25">
      <c r="B301" s="19">
        <v>42118</v>
      </c>
      <c r="C301">
        <v>48.005000000000003</v>
      </c>
      <c r="E301" s="19">
        <v>42118</v>
      </c>
      <c r="F301">
        <v>58.99</v>
      </c>
      <c r="H301" s="19">
        <v>42118</v>
      </c>
      <c r="I301">
        <v>14.115</v>
      </c>
      <c r="K301" s="19"/>
      <c r="N301" s="19"/>
    </row>
    <row r="302" spans="2:14" x14ac:dyDescent="0.25">
      <c r="B302" s="19">
        <v>42121</v>
      </c>
      <c r="C302">
        <v>49.17</v>
      </c>
      <c r="E302" s="19">
        <v>42121</v>
      </c>
      <c r="F302">
        <v>59.17</v>
      </c>
      <c r="H302" s="19">
        <v>42121</v>
      </c>
      <c r="I302">
        <v>14.34</v>
      </c>
      <c r="K302" s="19"/>
      <c r="N302" s="19"/>
    </row>
    <row r="303" spans="2:14" x14ac:dyDescent="0.25">
      <c r="B303" s="19">
        <v>42122</v>
      </c>
      <c r="C303">
        <v>49.68</v>
      </c>
      <c r="E303" s="19">
        <v>42122</v>
      </c>
      <c r="F303">
        <v>58.61</v>
      </c>
      <c r="H303" s="19">
        <v>42122</v>
      </c>
      <c r="I303">
        <v>14.225</v>
      </c>
      <c r="K303" s="19"/>
      <c r="N303" s="19"/>
    </row>
    <row r="304" spans="2:14" x14ac:dyDescent="0.25">
      <c r="B304" s="19">
        <v>42123</v>
      </c>
      <c r="C304">
        <v>48.435000000000002</v>
      </c>
      <c r="E304" s="19">
        <v>42123</v>
      </c>
      <c r="F304">
        <v>57.35</v>
      </c>
      <c r="H304" s="19">
        <v>42123</v>
      </c>
      <c r="I304">
        <v>14.01</v>
      </c>
      <c r="K304" s="19"/>
      <c r="N304" s="19"/>
    </row>
    <row r="305" spans="2:14" x14ac:dyDescent="0.25">
      <c r="B305" s="19">
        <v>42124</v>
      </c>
      <c r="C305">
        <v>48.484999999999999</v>
      </c>
      <c r="E305" s="19">
        <v>42124</v>
      </c>
      <c r="F305">
        <v>56.44</v>
      </c>
      <c r="H305" s="19">
        <v>42124</v>
      </c>
      <c r="I305">
        <v>13.904999999999999</v>
      </c>
      <c r="K305" s="19"/>
      <c r="N305" s="19"/>
    </row>
    <row r="306" spans="2:14" x14ac:dyDescent="0.25">
      <c r="B306" s="19">
        <v>42128</v>
      </c>
      <c r="C306">
        <v>48.13</v>
      </c>
      <c r="E306" s="19">
        <v>42128</v>
      </c>
      <c r="F306">
        <v>56.75</v>
      </c>
      <c r="H306" s="19">
        <v>42128</v>
      </c>
      <c r="I306">
        <v>13.965</v>
      </c>
      <c r="K306" s="19"/>
      <c r="N306" s="19"/>
    </row>
    <row r="307" spans="2:14" x14ac:dyDescent="0.25">
      <c r="B307" s="19">
        <v>42129</v>
      </c>
      <c r="C307">
        <v>47.674999999999997</v>
      </c>
      <c r="E307" s="19">
        <v>42129</v>
      </c>
      <c r="F307">
        <v>55.04</v>
      </c>
      <c r="H307" s="19">
        <v>42129</v>
      </c>
      <c r="I307">
        <v>13.545</v>
      </c>
      <c r="K307" s="19"/>
      <c r="N307" s="19"/>
    </row>
    <row r="308" spans="2:14" x14ac:dyDescent="0.25">
      <c r="B308" s="19">
        <v>42130</v>
      </c>
      <c r="C308">
        <v>47.844999999999999</v>
      </c>
      <c r="E308" s="19">
        <v>42130</v>
      </c>
      <c r="F308">
        <v>56.03</v>
      </c>
      <c r="H308" s="19">
        <v>42130</v>
      </c>
      <c r="I308">
        <v>13.62</v>
      </c>
      <c r="K308" s="19"/>
      <c r="N308" s="19"/>
    </row>
    <row r="309" spans="2:14" x14ac:dyDescent="0.25">
      <c r="B309" s="19">
        <v>42131</v>
      </c>
      <c r="C309">
        <v>46.765000000000001</v>
      </c>
      <c r="E309" s="19">
        <v>42131</v>
      </c>
      <c r="F309">
        <v>56.35</v>
      </c>
      <c r="H309" s="19">
        <v>42131</v>
      </c>
      <c r="I309">
        <v>13.685</v>
      </c>
      <c r="K309" s="19"/>
      <c r="N309" s="19"/>
    </row>
    <row r="310" spans="2:14" x14ac:dyDescent="0.25">
      <c r="B310" s="19">
        <v>42132</v>
      </c>
      <c r="C310">
        <v>48</v>
      </c>
      <c r="E310" s="19">
        <v>42132</v>
      </c>
      <c r="F310">
        <v>57.41</v>
      </c>
      <c r="H310" s="19">
        <v>42132</v>
      </c>
      <c r="I310">
        <v>13.925000000000001</v>
      </c>
      <c r="K310" s="19"/>
      <c r="N310" s="19"/>
    </row>
    <row r="311" spans="2:14" x14ac:dyDescent="0.25">
      <c r="B311" s="19">
        <v>42135</v>
      </c>
      <c r="C311">
        <v>47.515000000000001</v>
      </c>
      <c r="E311" s="19">
        <v>42135</v>
      </c>
      <c r="F311">
        <v>56.86</v>
      </c>
      <c r="H311" s="19">
        <v>42135</v>
      </c>
      <c r="I311">
        <v>13.904999999999999</v>
      </c>
      <c r="K311" s="19"/>
      <c r="N311" s="19"/>
    </row>
    <row r="312" spans="2:14" x14ac:dyDescent="0.25">
      <c r="B312" s="19">
        <v>42136</v>
      </c>
      <c r="C312">
        <v>46.98</v>
      </c>
      <c r="E312" s="19">
        <v>42136</v>
      </c>
      <c r="F312">
        <v>56.11</v>
      </c>
      <c r="H312" s="19">
        <v>42136</v>
      </c>
      <c r="I312">
        <v>13.795</v>
      </c>
      <c r="K312" s="19"/>
      <c r="N312" s="19"/>
    </row>
    <row r="313" spans="2:14" x14ac:dyDescent="0.25">
      <c r="B313" s="19">
        <v>42137</v>
      </c>
      <c r="C313">
        <v>47.03</v>
      </c>
      <c r="E313" s="19">
        <v>42137</v>
      </c>
      <c r="F313">
        <v>55.99</v>
      </c>
      <c r="H313" s="19">
        <v>42137</v>
      </c>
      <c r="I313">
        <v>14.06</v>
      </c>
      <c r="K313" s="19"/>
      <c r="N313" s="19"/>
    </row>
    <row r="314" spans="2:14" x14ac:dyDescent="0.25">
      <c r="B314" s="19">
        <v>42138</v>
      </c>
      <c r="C314">
        <v>47.335000000000001</v>
      </c>
      <c r="E314" s="19">
        <v>42138</v>
      </c>
      <c r="F314">
        <v>56.9</v>
      </c>
      <c r="H314" s="19">
        <v>42138</v>
      </c>
      <c r="I314">
        <v>14.31</v>
      </c>
      <c r="K314" s="19"/>
      <c r="N314" s="19"/>
    </row>
    <row r="315" spans="2:14" x14ac:dyDescent="0.25">
      <c r="B315" s="19">
        <v>42139</v>
      </c>
      <c r="C315">
        <v>46.47</v>
      </c>
      <c r="E315" s="19">
        <v>42139</v>
      </c>
      <c r="F315">
        <v>56.74</v>
      </c>
      <c r="H315" s="19">
        <v>42139</v>
      </c>
      <c r="I315">
        <v>14.225</v>
      </c>
      <c r="K315" s="19"/>
      <c r="N315" s="19"/>
    </row>
    <row r="316" spans="2:14" x14ac:dyDescent="0.25">
      <c r="B316" s="19">
        <v>42142</v>
      </c>
      <c r="C316">
        <v>46.67</v>
      </c>
      <c r="E316" s="19">
        <v>42142</v>
      </c>
      <c r="F316">
        <v>56.65</v>
      </c>
      <c r="H316" s="19">
        <v>42142</v>
      </c>
      <c r="I316">
        <v>13.79</v>
      </c>
      <c r="K316" s="19"/>
      <c r="N316" s="19"/>
    </row>
    <row r="317" spans="2:14" x14ac:dyDescent="0.25">
      <c r="B317" s="19">
        <v>42143</v>
      </c>
      <c r="C317">
        <v>47.305</v>
      </c>
      <c r="E317" s="19">
        <v>42143</v>
      </c>
      <c r="F317">
        <v>57.41</v>
      </c>
      <c r="H317" s="19">
        <v>42143</v>
      </c>
      <c r="I317">
        <v>13.92</v>
      </c>
      <c r="K317" s="19"/>
      <c r="N317" s="19"/>
    </row>
    <row r="318" spans="2:14" x14ac:dyDescent="0.25">
      <c r="B318" s="19">
        <v>42144</v>
      </c>
      <c r="C318">
        <v>47.4</v>
      </c>
      <c r="E318" s="19">
        <v>42144</v>
      </c>
      <c r="F318">
        <v>56.85</v>
      </c>
      <c r="H318" s="19">
        <v>42144</v>
      </c>
      <c r="I318">
        <v>14.115</v>
      </c>
      <c r="K318" s="19"/>
      <c r="N318" s="19"/>
    </row>
    <row r="319" spans="2:14" x14ac:dyDescent="0.25">
      <c r="B319" s="19">
        <v>42145</v>
      </c>
      <c r="C319">
        <v>47.82</v>
      </c>
      <c r="E319" s="19">
        <v>42145</v>
      </c>
      <c r="F319">
        <v>56.47</v>
      </c>
      <c r="H319" s="19">
        <v>42145</v>
      </c>
      <c r="I319">
        <v>14.065</v>
      </c>
      <c r="K319" s="19"/>
      <c r="N319" s="19"/>
    </row>
    <row r="320" spans="2:14" x14ac:dyDescent="0.25">
      <c r="B320" s="19">
        <v>42146</v>
      </c>
      <c r="C320">
        <v>47.73</v>
      </c>
      <c r="E320" s="19">
        <v>42146</v>
      </c>
      <c r="F320">
        <v>57.01</v>
      </c>
      <c r="H320" s="19">
        <v>42146</v>
      </c>
      <c r="I320">
        <v>14.16</v>
      </c>
      <c r="K320" s="19"/>
      <c r="N320" s="19"/>
    </row>
    <row r="321" spans="2:14" x14ac:dyDescent="0.25">
      <c r="B321" s="19">
        <v>42149</v>
      </c>
      <c r="C321">
        <v>47.545000000000002</v>
      </c>
      <c r="E321" s="19">
        <v>42149</v>
      </c>
      <c r="F321">
        <v>56.23</v>
      </c>
      <c r="H321" s="19">
        <v>42149</v>
      </c>
      <c r="I321">
        <v>14.005000000000001</v>
      </c>
      <c r="K321" s="19"/>
      <c r="N321" s="19"/>
    </row>
    <row r="322" spans="2:14" x14ac:dyDescent="0.25">
      <c r="B322" s="19">
        <v>42150</v>
      </c>
      <c r="C322">
        <v>46.825000000000003</v>
      </c>
      <c r="E322" s="19">
        <v>42150</v>
      </c>
      <c r="F322">
        <v>55.57</v>
      </c>
      <c r="H322" s="19">
        <v>42150</v>
      </c>
      <c r="I322">
        <v>13.925000000000001</v>
      </c>
      <c r="K322" s="19"/>
      <c r="N322" s="19"/>
    </row>
    <row r="323" spans="2:14" x14ac:dyDescent="0.25">
      <c r="B323" s="19">
        <v>42151</v>
      </c>
      <c r="C323">
        <v>47.4</v>
      </c>
      <c r="E323" s="19">
        <v>42151</v>
      </c>
      <c r="F323">
        <v>56.47</v>
      </c>
      <c r="H323" s="19">
        <v>42151</v>
      </c>
      <c r="I323">
        <v>14.33</v>
      </c>
      <c r="K323" s="19"/>
      <c r="N323" s="19"/>
    </row>
    <row r="324" spans="2:14" x14ac:dyDescent="0.25">
      <c r="B324" s="19">
        <v>42152</v>
      </c>
      <c r="C324">
        <v>46.924999999999997</v>
      </c>
      <c r="E324" s="19">
        <v>42152</v>
      </c>
      <c r="F324">
        <v>56.15</v>
      </c>
      <c r="H324" s="19">
        <v>42152</v>
      </c>
      <c r="I324">
        <v>13.935</v>
      </c>
      <c r="K324" s="19"/>
      <c r="N324" s="19"/>
    </row>
    <row r="325" spans="2:14" x14ac:dyDescent="0.25">
      <c r="B325" s="19">
        <v>42153</v>
      </c>
      <c r="C325">
        <v>45.975000000000001</v>
      </c>
      <c r="E325" s="19">
        <v>42153</v>
      </c>
      <c r="F325">
        <v>54.93</v>
      </c>
      <c r="H325" s="19">
        <v>42153</v>
      </c>
      <c r="I325">
        <v>13.595000000000001</v>
      </c>
      <c r="K325" s="19"/>
      <c r="N325" s="19"/>
    </row>
    <row r="326" spans="2:14" x14ac:dyDescent="0.25">
      <c r="B326" s="19">
        <v>42156</v>
      </c>
      <c r="C326">
        <v>46</v>
      </c>
      <c r="E326" s="19">
        <v>42156</v>
      </c>
      <c r="F326">
        <v>54.85</v>
      </c>
      <c r="H326" s="19">
        <v>42156</v>
      </c>
      <c r="I326">
        <v>13.51</v>
      </c>
      <c r="K326" s="19"/>
      <c r="N326" s="19"/>
    </row>
    <row r="327" spans="2:14" x14ac:dyDescent="0.25">
      <c r="B327" s="19">
        <v>42157</v>
      </c>
      <c r="C327">
        <v>46.155000000000001</v>
      </c>
      <c r="E327" s="19">
        <v>42157</v>
      </c>
      <c r="F327">
        <v>55.53</v>
      </c>
      <c r="H327" s="19">
        <v>42157</v>
      </c>
      <c r="I327">
        <v>13.83</v>
      </c>
      <c r="K327" s="19"/>
      <c r="N327" s="19"/>
    </row>
    <row r="328" spans="2:14" x14ac:dyDescent="0.25">
      <c r="B328" s="19">
        <v>42158</v>
      </c>
      <c r="C328">
        <v>46.375</v>
      </c>
      <c r="E328" s="19">
        <v>42158</v>
      </c>
      <c r="F328">
        <v>56.77</v>
      </c>
      <c r="H328" s="19">
        <v>42158</v>
      </c>
      <c r="I328">
        <v>13.855</v>
      </c>
      <c r="K328" s="19"/>
      <c r="N328" s="19"/>
    </row>
    <row r="329" spans="2:14" x14ac:dyDescent="0.25">
      <c r="B329" s="19">
        <v>42159</v>
      </c>
      <c r="C329">
        <v>45.5</v>
      </c>
      <c r="E329" s="19">
        <v>42159</v>
      </c>
      <c r="F329">
        <v>56.34</v>
      </c>
      <c r="H329" s="19">
        <v>42159</v>
      </c>
      <c r="I329">
        <v>13.654999999999999</v>
      </c>
      <c r="K329" s="19"/>
      <c r="N329" s="19"/>
    </row>
    <row r="330" spans="2:14" x14ac:dyDescent="0.25">
      <c r="B330" s="19">
        <v>42160</v>
      </c>
      <c r="C330">
        <v>45.555</v>
      </c>
      <c r="E330" s="19">
        <v>42160</v>
      </c>
      <c r="F330">
        <v>55.3</v>
      </c>
      <c r="H330" s="19">
        <v>42160</v>
      </c>
      <c r="I330">
        <v>13.395</v>
      </c>
      <c r="K330" s="19"/>
      <c r="N330" s="19"/>
    </row>
    <row r="331" spans="2:14" x14ac:dyDescent="0.25">
      <c r="B331" s="19">
        <v>42163</v>
      </c>
      <c r="C331">
        <v>44.185000000000002</v>
      </c>
      <c r="E331" s="19">
        <v>42163</v>
      </c>
      <c r="F331">
        <v>54.63</v>
      </c>
      <c r="H331" s="19">
        <v>42163</v>
      </c>
      <c r="I331">
        <v>13.15</v>
      </c>
      <c r="K331" s="19"/>
      <c r="N331" s="19"/>
    </row>
    <row r="332" spans="2:14" x14ac:dyDescent="0.25">
      <c r="B332" s="19">
        <v>42164</v>
      </c>
      <c r="C332">
        <v>44.08</v>
      </c>
      <c r="E332" s="19">
        <v>42164</v>
      </c>
      <c r="F332">
        <v>54.39</v>
      </c>
      <c r="H332" s="19">
        <v>42164</v>
      </c>
      <c r="I332">
        <v>13.23</v>
      </c>
      <c r="K332" s="19"/>
      <c r="N332" s="19"/>
    </row>
    <row r="333" spans="2:14" x14ac:dyDescent="0.25">
      <c r="B333" s="19">
        <v>42165</v>
      </c>
      <c r="C333">
        <v>45.024999999999999</v>
      </c>
      <c r="E333" s="19">
        <v>42165</v>
      </c>
      <c r="F333">
        <v>55.56</v>
      </c>
      <c r="H333" s="19">
        <v>42165</v>
      </c>
      <c r="I333">
        <v>13.484999999999999</v>
      </c>
      <c r="K333" s="19"/>
      <c r="N333" s="19"/>
    </row>
    <row r="334" spans="2:14" x14ac:dyDescent="0.25">
      <c r="B334" s="19">
        <v>42166</v>
      </c>
      <c r="C334">
        <v>45.4</v>
      </c>
      <c r="E334" s="19">
        <v>42166</v>
      </c>
      <c r="F334">
        <v>56.02</v>
      </c>
      <c r="H334" s="19">
        <v>42166</v>
      </c>
      <c r="I334">
        <v>13.465</v>
      </c>
      <c r="K334" s="19"/>
      <c r="N334" s="19"/>
    </row>
    <row r="335" spans="2:14" x14ac:dyDescent="0.25">
      <c r="B335" s="19">
        <v>42167</v>
      </c>
      <c r="C335">
        <v>44.56</v>
      </c>
      <c r="E335" s="19">
        <v>42167</v>
      </c>
      <c r="F335">
        <v>55.3</v>
      </c>
      <c r="H335" s="19">
        <v>42167</v>
      </c>
      <c r="I335">
        <v>13.395</v>
      </c>
      <c r="K335" s="19"/>
      <c r="N335" s="19"/>
    </row>
    <row r="336" spans="2:14" x14ac:dyDescent="0.25">
      <c r="B336" s="19">
        <v>42170</v>
      </c>
      <c r="C336">
        <v>43.884999999999998</v>
      </c>
      <c r="E336" s="19">
        <v>42170</v>
      </c>
      <c r="F336">
        <v>53.96</v>
      </c>
      <c r="H336" s="19">
        <v>42170</v>
      </c>
      <c r="I336">
        <v>13.045</v>
      </c>
      <c r="K336" s="19"/>
      <c r="N336" s="19"/>
    </row>
    <row r="337" spans="2:14" x14ac:dyDescent="0.25">
      <c r="B337" s="19">
        <v>42171</v>
      </c>
      <c r="C337">
        <v>43.905000000000001</v>
      </c>
      <c r="E337" s="19">
        <v>42171</v>
      </c>
      <c r="F337">
        <v>53.67</v>
      </c>
      <c r="H337" s="19">
        <v>42171</v>
      </c>
      <c r="I337">
        <v>13.065</v>
      </c>
      <c r="K337" s="19"/>
      <c r="N337" s="19"/>
    </row>
    <row r="338" spans="2:14" x14ac:dyDescent="0.25">
      <c r="B338" s="19">
        <v>42172</v>
      </c>
      <c r="C338">
        <v>44.39</v>
      </c>
      <c r="E338" s="19">
        <v>42172</v>
      </c>
      <c r="F338">
        <v>53.14</v>
      </c>
      <c r="H338" s="19">
        <v>42172</v>
      </c>
      <c r="I338">
        <v>12.975</v>
      </c>
      <c r="K338" s="19"/>
      <c r="N338" s="19"/>
    </row>
    <row r="339" spans="2:14" x14ac:dyDescent="0.25">
      <c r="B339" s="19">
        <v>42173</v>
      </c>
      <c r="C339">
        <v>44.3</v>
      </c>
      <c r="E339" s="19">
        <v>42173</v>
      </c>
      <c r="F339">
        <v>53.08</v>
      </c>
      <c r="H339" s="19">
        <v>42173</v>
      </c>
      <c r="I339">
        <v>13.065</v>
      </c>
      <c r="K339" s="19"/>
      <c r="N339" s="19"/>
    </row>
    <row r="340" spans="2:14" x14ac:dyDescent="0.25">
      <c r="B340" s="19">
        <v>42174</v>
      </c>
      <c r="C340">
        <v>44.125</v>
      </c>
      <c r="E340" s="19">
        <v>42174</v>
      </c>
      <c r="F340">
        <v>53.61</v>
      </c>
      <c r="H340" s="19">
        <v>42174</v>
      </c>
      <c r="I340">
        <v>13.175000000000001</v>
      </c>
      <c r="K340" s="19"/>
      <c r="N340" s="19"/>
    </row>
    <row r="341" spans="2:14" x14ac:dyDescent="0.25">
      <c r="B341" s="19">
        <v>42177</v>
      </c>
      <c r="C341">
        <v>45.42</v>
      </c>
      <c r="E341" s="19">
        <v>42177</v>
      </c>
      <c r="F341">
        <v>56.32</v>
      </c>
      <c r="H341" s="19">
        <v>42177</v>
      </c>
      <c r="I341">
        <v>13.855</v>
      </c>
      <c r="K341" s="19"/>
      <c r="N341" s="19"/>
    </row>
    <row r="342" spans="2:14" x14ac:dyDescent="0.25">
      <c r="B342" s="19">
        <v>42178</v>
      </c>
      <c r="C342">
        <v>46.045000000000002</v>
      </c>
      <c r="E342" s="19">
        <v>42178</v>
      </c>
      <c r="F342">
        <v>57.36</v>
      </c>
      <c r="H342" s="19">
        <v>42178</v>
      </c>
      <c r="I342">
        <v>14.07</v>
      </c>
      <c r="K342" s="19"/>
      <c r="N342" s="19"/>
    </row>
    <row r="343" spans="2:14" x14ac:dyDescent="0.25">
      <c r="B343" s="19">
        <v>42179</v>
      </c>
      <c r="C343">
        <v>46.51</v>
      </c>
      <c r="E343" s="19">
        <v>42179</v>
      </c>
      <c r="F343">
        <v>56.86</v>
      </c>
      <c r="H343" s="19">
        <v>42179</v>
      </c>
      <c r="I343">
        <v>14.05</v>
      </c>
      <c r="K343" s="19"/>
      <c r="N343" s="19"/>
    </row>
    <row r="344" spans="2:14" x14ac:dyDescent="0.25">
      <c r="B344" s="19">
        <v>42180</v>
      </c>
      <c r="C344">
        <v>46.445</v>
      </c>
      <c r="E344" s="19">
        <v>42180</v>
      </c>
      <c r="F344">
        <v>57.03</v>
      </c>
      <c r="H344" s="19">
        <v>42180</v>
      </c>
      <c r="I344">
        <v>14.07</v>
      </c>
      <c r="K344" s="19"/>
      <c r="N344" s="19"/>
    </row>
    <row r="345" spans="2:14" x14ac:dyDescent="0.25">
      <c r="B345" s="19">
        <v>42181</v>
      </c>
      <c r="C345">
        <v>46.42</v>
      </c>
      <c r="E345" s="19">
        <v>42181</v>
      </c>
      <c r="F345">
        <v>57.63</v>
      </c>
      <c r="H345" s="19">
        <v>42181</v>
      </c>
      <c r="I345">
        <v>14.135</v>
      </c>
      <c r="K345" s="19"/>
      <c r="N345" s="19"/>
    </row>
    <row r="346" spans="2:14" x14ac:dyDescent="0.25">
      <c r="B346" s="19">
        <v>42184</v>
      </c>
      <c r="C346">
        <v>44.64</v>
      </c>
      <c r="E346" s="19">
        <v>42184</v>
      </c>
      <c r="F346">
        <v>54.81</v>
      </c>
      <c r="H346" s="19">
        <v>42184</v>
      </c>
      <c r="I346">
        <v>13.425000000000001</v>
      </c>
      <c r="K346" s="19"/>
      <c r="N346" s="19"/>
    </row>
    <row r="347" spans="2:14" x14ac:dyDescent="0.25">
      <c r="B347" s="19">
        <v>42185</v>
      </c>
      <c r="C347">
        <v>43.57</v>
      </c>
      <c r="E347" s="19">
        <v>42185</v>
      </c>
      <c r="F347">
        <v>54.15</v>
      </c>
      <c r="H347" s="19">
        <v>42185</v>
      </c>
      <c r="I347">
        <v>13.34</v>
      </c>
      <c r="K347" s="19"/>
      <c r="N347" s="19"/>
    </row>
    <row r="348" spans="2:14" x14ac:dyDescent="0.25">
      <c r="B348" s="19">
        <v>42186</v>
      </c>
      <c r="C348">
        <v>43.89</v>
      </c>
      <c r="E348" s="19">
        <v>42186</v>
      </c>
      <c r="F348">
        <v>55.37</v>
      </c>
      <c r="H348" s="19">
        <v>42186</v>
      </c>
      <c r="I348">
        <v>13.675000000000001</v>
      </c>
      <c r="K348" s="19"/>
      <c r="N348" s="19"/>
    </row>
    <row r="349" spans="2:14" x14ac:dyDescent="0.25">
      <c r="B349" s="19">
        <v>42187</v>
      </c>
      <c r="C349">
        <v>43.905000000000001</v>
      </c>
      <c r="E349" s="19">
        <v>42187</v>
      </c>
      <c r="F349">
        <v>54.71</v>
      </c>
      <c r="H349" s="19">
        <v>42187</v>
      </c>
      <c r="I349">
        <v>13.48</v>
      </c>
      <c r="K349" s="19"/>
      <c r="N349" s="19"/>
    </row>
    <row r="350" spans="2:14" x14ac:dyDescent="0.25">
      <c r="B350" s="19">
        <v>42188</v>
      </c>
      <c r="C350">
        <v>43.784999999999997</v>
      </c>
      <c r="E350" s="19">
        <v>42188</v>
      </c>
      <c r="F350">
        <v>54.27</v>
      </c>
      <c r="H350" s="19">
        <v>42188</v>
      </c>
      <c r="I350">
        <v>13.37</v>
      </c>
      <c r="K350" s="19"/>
      <c r="N350" s="19"/>
    </row>
    <row r="351" spans="2:14" x14ac:dyDescent="0.25">
      <c r="B351" s="19">
        <v>42191</v>
      </c>
      <c r="C351">
        <v>42.9</v>
      </c>
      <c r="E351" s="19">
        <v>42191</v>
      </c>
      <c r="F351">
        <v>51.97</v>
      </c>
      <c r="H351" s="19">
        <v>42191</v>
      </c>
      <c r="I351">
        <v>13</v>
      </c>
      <c r="K351" s="19"/>
      <c r="N351" s="19"/>
    </row>
    <row r="352" spans="2:14" x14ac:dyDescent="0.25">
      <c r="B352" s="19">
        <v>42192</v>
      </c>
      <c r="C352">
        <v>42.005000000000003</v>
      </c>
      <c r="E352" s="19">
        <v>42192</v>
      </c>
      <c r="F352">
        <v>50.5</v>
      </c>
      <c r="H352" s="19">
        <v>42192</v>
      </c>
      <c r="I352">
        <v>12.65</v>
      </c>
      <c r="K352" s="19"/>
      <c r="N352" s="19"/>
    </row>
    <row r="353" spans="2:14" x14ac:dyDescent="0.25">
      <c r="B353" s="19">
        <v>42193</v>
      </c>
      <c r="C353">
        <v>42.244999999999997</v>
      </c>
      <c r="E353" s="19">
        <v>42193</v>
      </c>
      <c r="F353">
        <v>50.93</v>
      </c>
      <c r="H353" s="19">
        <v>42193</v>
      </c>
      <c r="I353">
        <v>12.675000000000001</v>
      </c>
      <c r="K353" s="19"/>
      <c r="N353" s="19"/>
    </row>
    <row r="354" spans="2:14" x14ac:dyDescent="0.25">
      <c r="B354" s="19">
        <v>42194</v>
      </c>
      <c r="C354">
        <v>43.305</v>
      </c>
      <c r="E354" s="19">
        <v>42194</v>
      </c>
      <c r="F354">
        <v>52.38</v>
      </c>
      <c r="H354" s="19">
        <v>42194</v>
      </c>
      <c r="I354">
        <v>13.2</v>
      </c>
      <c r="K354" s="19"/>
      <c r="N354" s="19"/>
    </row>
    <row r="355" spans="2:14" x14ac:dyDescent="0.25">
      <c r="B355" s="19">
        <v>42195</v>
      </c>
      <c r="C355">
        <v>44.344999999999999</v>
      </c>
      <c r="E355" s="19">
        <v>42195</v>
      </c>
      <c r="F355">
        <v>54.49</v>
      </c>
      <c r="H355" s="19">
        <v>42195</v>
      </c>
      <c r="I355">
        <v>13.61</v>
      </c>
      <c r="K355" s="19"/>
      <c r="N355" s="19"/>
    </row>
    <row r="356" spans="2:14" x14ac:dyDescent="0.25">
      <c r="B356" s="19">
        <v>42198</v>
      </c>
      <c r="C356">
        <v>44.674999999999997</v>
      </c>
      <c r="E356" s="19">
        <v>42198</v>
      </c>
      <c r="F356">
        <v>55.77</v>
      </c>
      <c r="H356" s="19">
        <v>42198</v>
      </c>
      <c r="I356">
        <v>14.02</v>
      </c>
      <c r="K356" s="19"/>
      <c r="N356" s="19"/>
    </row>
    <row r="357" spans="2:14" x14ac:dyDescent="0.25">
      <c r="B357" s="19">
        <v>42199</v>
      </c>
      <c r="C357">
        <v>45.1</v>
      </c>
      <c r="E357" s="19">
        <v>42199</v>
      </c>
      <c r="F357">
        <v>56.36</v>
      </c>
      <c r="H357" s="19">
        <v>42199</v>
      </c>
      <c r="I357">
        <v>14.12</v>
      </c>
      <c r="K357" s="19"/>
      <c r="N357" s="19"/>
    </row>
    <row r="358" spans="2:14" x14ac:dyDescent="0.25">
      <c r="B358" s="19">
        <v>42200</v>
      </c>
      <c r="C358">
        <v>45.25</v>
      </c>
      <c r="E358" s="19">
        <v>42200</v>
      </c>
      <c r="F358">
        <v>56.29</v>
      </c>
      <c r="H358" s="19">
        <v>42200</v>
      </c>
      <c r="I358">
        <v>14.195</v>
      </c>
      <c r="K358" s="19"/>
      <c r="N358" s="19"/>
    </row>
    <row r="359" spans="2:14" x14ac:dyDescent="0.25">
      <c r="B359" s="19">
        <v>42201</v>
      </c>
      <c r="C359">
        <v>45.74</v>
      </c>
      <c r="E359" s="19">
        <v>42201</v>
      </c>
      <c r="F359">
        <v>57.55</v>
      </c>
      <c r="H359" s="19">
        <v>42201</v>
      </c>
      <c r="I359">
        <v>14.305</v>
      </c>
      <c r="K359" s="19"/>
      <c r="N359" s="19"/>
    </row>
    <row r="360" spans="2:14" x14ac:dyDescent="0.25">
      <c r="B360" s="19">
        <v>42202</v>
      </c>
      <c r="C360">
        <v>45.64</v>
      </c>
      <c r="E360" s="19">
        <v>42202</v>
      </c>
      <c r="F360">
        <v>57.31</v>
      </c>
      <c r="H360" s="19">
        <v>42202</v>
      </c>
      <c r="I360">
        <v>14.215</v>
      </c>
      <c r="K360" s="19"/>
      <c r="N360" s="19"/>
    </row>
    <row r="361" spans="2:14" x14ac:dyDescent="0.25">
      <c r="B361" s="19">
        <v>42205</v>
      </c>
      <c r="C361">
        <v>45.664999999999999</v>
      </c>
      <c r="E361" s="19">
        <v>42205</v>
      </c>
      <c r="F361">
        <v>57.45</v>
      </c>
      <c r="H361" s="19">
        <v>42205</v>
      </c>
      <c r="I361">
        <v>14.39</v>
      </c>
      <c r="K361" s="19"/>
      <c r="N361" s="19"/>
    </row>
    <row r="362" spans="2:14" x14ac:dyDescent="0.25">
      <c r="B362" s="19">
        <v>42206</v>
      </c>
      <c r="C362">
        <v>45.435000000000002</v>
      </c>
      <c r="E362" s="19">
        <v>42206</v>
      </c>
      <c r="F362">
        <v>57.05</v>
      </c>
      <c r="H362" s="19">
        <v>42206</v>
      </c>
      <c r="I362">
        <v>14.33</v>
      </c>
      <c r="K362" s="19"/>
      <c r="N362" s="19"/>
    </row>
    <row r="363" spans="2:14" x14ac:dyDescent="0.25">
      <c r="B363" s="19">
        <v>42207</v>
      </c>
      <c r="C363">
        <v>44.63</v>
      </c>
      <c r="E363" s="19">
        <v>42207</v>
      </c>
      <c r="F363">
        <v>56.85</v>
      </c>
      <c r="H363" s="19">
        <v>42207</v>
      </c>
      <c r="I363">
        <v>14.29</v>
      </c>
      <c r="K363" s="19"/>
      <c r="N363" s="19"/>
    </row>
    <row r="364" spans="2:14" x14ac:dyDescent="0.25">
      <c r="B364" s="19">
        <v>42208</v>
      </c>
      <c r="C364">
        <v>44.63</v>
      </c>
      <c r="E364" s="19">
        <v>42208</v>
      </c>
      <c r="F364">
        <v>57.09</v>
      </c>
      <c r="H364" s="19">
        <v>42208</v>
      </c>
      <c r="I364">
        <v>14.385</v>
      </c>
      <c r="K364" s="19"/>
      <c r="N364" s="19"/>
    </row>
    <row r="365" spans="2:14" x14ac:dyDescent="0.25">
      <c r="B365" s="19">
        <v>42209</v>
      </c>
      <c r="C365">
        <v>44.244999999999997</v>
      </c>
      <c r="E365" s="19">
        <v>42209</v>
      </c>
      <c r="F365">
        <v>57.21</v>
      </c>
      <c r="H365" s="19">
        <v>42209</v>
      </c>
      <c r="I365">
        <v>14.31</v>
      </c>
      <c r="K365" s="19"/>
      <c r="N365" s="19"/>
    </row>
    <row r="366" spans="2:14" x14ac:dyDescent="0.25">
      <c r="B366" s="19">
        <v>42212</v>
      </c>
      <c r="C366">
        <v>42.98</v>
      </c>
      <c r="E366" s="19">
        <v>42212</v>
      </c>
      <c r="F366">
        <v>55.71</v>
      </c>
      <c r="H366" s="19">
        <v>42212</v>
      </c>
      <c r="I366">
        <v>14.074999999999999</v>
      </c>
      <c r="K366" s="19"/>
      <c r="N366" s="19"/>
    </row>
    <row r="367" spans="2:14" x14ac:dyDescent="0.25">
      <c r="B367" s="19">
        <v>42213</v>
      </c>
      <c r="C367">
        <v>43.215000000000003</v>
      </c>
      <c r="E367" s="19">
        <v>42213</v>
      </c>
      <c r="F367">
        <v>56.76</v>
      </c>
      <c r="H367" s="19">
        <v>42213</v>
      </c>
      <c r="I367">
        <v>14.295</v>
      </c>
      <c r="K367" s="19"/>
      <c r="N367" s="19"/>
    </row>
    <row r="368" spans="2:14" x14ac:dyDescent="0.25">
      <c r="B368" s="19">
        <v>42214</v>
      </c>
      <c r="C368">
        <v>44.314999999999998</v>
      </c>
      <c r="E368" s="19">
        <v>42214</v>
      </c>
      <c r="F368">
        <v>56.23</v>
      </c>
      <c r="H368" s="19">
        <v>42214</v>
      </c>
      <c r="I368">
        <v>14.19</v>
      </c>
      <c r="K368" s="19"/>
      <c r="N368" s="19"/>
    </row>
    <row r="369" spans="2:14" x14ac:dyDescent="0.25">
      <c r="B369" s="19">
        <v>42215</v>
      </c>
      <c r="C369">
        <v>44.96</v>
      </c>
      <c r="E369" s="19">
        <v>42215</v>
      </c>
      <c r="F369">
        <v>57.66</v>
      </c>
      <c r="H369" s="19">
        <v>42215</v>
      </c>
      <c r="I369">
        <v>14.234999999999999</v>
      </c>
      <c r="K369" s="19"/>
      <c r="N369" s="19"/>
    </row>
    <row r="370" spans="2:14" x14ac:dyDescent="0.25">
      <c r="B370" s="19">
        <v>42216</v>
      </c>
      <c r="C370">
        <v>45.075000000000003</v>
      </c>
      <c r="E370" s="19">
        <v>42216</v>
      </c>
      <c r="F370">
        <v>59.31</v>
      </c>
      <c r="H370" s="19">
        <v>42216</v>
      </c>
      <c r="I370">
        <v>14.345000000000001</v>
      </c>
      <c r="K370" s="19"/>
      <c r="N370" s="19"/>
    </row>
    <row r="371" spans="2:14" x14ac:dyDescent="0.25">
      <c r="B371" s="19">
        <v>42219</v>
      </c>
      <c r="C371">
        <v>44.95</v>
      </c>
      <c r="E371" s="19">
        <v>42219</v>
      </c>
      <c r="F371">
        <v>59.55</v>
      </c>
      <c r="H371" s="19">
        <v>42219</v>
      </c>
      <c r="I371">
        <v>14.404999999999999</v>
      </c>
      <c r="K371" s="19"/>
      <c r="N371" s="19"/>
    </row>
    <row r="372" spans="2:14" x14ac:dyDescent="0.25">
      <c r="B372" s="19">
        <v>42220</v>
      </c>
      <c r="C372">
        <v>44.65</v>
      </c>
      <c r="E372" s="19">
        <v>42220</v>
      </c>
      <c r="F372">
        <v>59.76</v>
      </c>
      <c r="H372" s="19">
        <v>42220</v>
      </c>
      <c r="I372">
        <v>12.94</v>
      </c>
      <c r="K372" s="19"/>
      <c r="N372" s="19"/>
    </row>
    <row r="373" spans="2:14" x14ac:dyDescent="0.25">
      <c r="B373" s="19">
        <v>42221</v>
      </c>
      <c r="C373">
        <v>45.465000000000003</v>
      </c>
      <c r="E373" s="19">
        <v>42221</v>
      </c>
      <c r="F373">
        <v>60.45</v>
      </c>
      <c r="H373" s="19">
        <v>42221</v>
      </c>
      <c r="I373">
        <v>13.03</v>
      </c>
      <c r="K373" s="19"/>
      <c r="N373" s="19"/>
    </row>
    <row r="374" spans="2:14" x14ac:dyDescent="0.25">
      <c r="B374" s="19">
        <v>42222</v>
      </c>
      <c r="C374">
        <v>45.295000000000002</v>
      </c>
      <c r="E374" s="19">
        <v>42222</v>
      </c>
      <c r="F374">
        <v>60.68</v>
      </c>
      <c r="H374" s="19">
        <v>42222</v>
      </c>
      <c r="I374">
        <v>13.205</v>
      </c>
      <c r="K374" s="19"/>
      <c r="N374" s="19"/>
    </row>
    <row r="375" spans="2:14" x14ac:dyDescent="0.25">
      <c r="B375" s="19">
        <v>42223</v>
      </c>
      <c r="C375">
        <v>45.795000000000002</v>
      </c>
      <c r="E375" s="19">
        <v>42223</v>
      </c>
      <c r="F375">
        <v>60.25</v>
      </c>
      <c r="H375" s="19">
        <v>42223</v>
      </c>
      <c r="I375">
        <v>13.045</v>
      </c>
      <c r="K375" s="19"/>
      <c r="N375" s="19"/>
    </row>
    <row r="376" spans="2:14" x14ac:dyDescent="0.25">
      <c r="B376" s="19">
        <v>42226</v>
      </c>
      <c r="C376">
        <v>45.89</v>
      </c>
      <c r="E376" s="19">
        <v>42226</v>
      </c>
      <c r="F376">
        <v>60.45</v>
      </c>
      <c r="H376" s="19">
        <v>42226</v>
      </c>
      <c r="I376">
        <v>13</v>
      </c>
      <c r="K376" s="19"/>
      <c r="N376" s="19"/>
    </row>
    <row r="377" spans="2:14" x14ac:dyDescent="0.25">
      <c r="B377" s="19">
        <v>42227</v>
      </c>
      <c r="C377">
        <v>45.505000000000003</v>
      </c>
      <c r="E377" s="19">
        <v>42227</v>
      </c>
      <c r="F377">
        <v>59.64</v>
      </c>
      <c r="H377" s="19">
        <v>42227</v>
      </c>
      <c r="I377">
        <v>12.955</v>
      </c>
      <c r="K377" s="19"/>
      <c r="N377" s="19"/>
    </row>
    <row r="378" spans="2:14" x14ac:dyDescent="0.25">
      <c r="B378" s="19">
        <v>42228</v>
      </c>
      <c r="C378">
        <v>44.534999999999997</v>
      </c>
      <c r="E378" s="19">
        <v>42228</v>
      </c>
      <c r="F378">
        <v>57.93</v>
      </c>
      <c r="H378" s="19">
        <v>42228</v>
      </c>
      <c r="I378">
        <v>12.635</v>
      </c>
      <c r="K378" s="19"/>
      <c r="N378" s="19"/>
    </row>
    <row r="379" spans="2:14" x14ac:dyDescent="0.25">
      <c r="B379" s="19">
        <v>42229</v>
      </c>
      <c r="C379">
        <v>44.38</v>
      </c>
      <c r="E379" s="19">
        <v>42229</v>
      </c>
      <c r="F379">
        <v>58.69</v>
      </c>
      <c r="H379" s="19">
        <v>42229</v>
      </c>
      <c r="I379">
        <v>12.75</v>
      </c>
      <c r="K379" s="19"/>
      <c r="N379" s="19"/>
    </row>
    <row r="380" spans="2:14" x14ac:dyDescent="0.25">
      <c r="B380" s="19">
        <v>42230</v>
      </c>
      <c r="C380">
        <v>44</v>
      </c>
      <c r="E380" s="19">
        <v>42230</v>
      </c>
      <c r="F380">
        <v>58.15</v>
      </c>
      <c r="H380" s="19">
        <v>42230</v>
      </c>
      <c r="I380">
        <v>12.615</v>
      </c>
      <c r="K380" s="19"/>
      <c r="N380" s="19"/>
    </row>
    <row r="381" spans="2:14" x14ac:dyDescent="0.25">
      <c r="B381" s="19">
        <v>42233</v>
      </c>
      <c r="C381">
        <v>44.484999999999999</v>
      </c>
      <c r="E381" s="19">
        <v>42233</v>
      </c>
      <c r="F381">
        <v>59.12</v>
      </c>
      <c r="H381" s="19">
        <v>42233</v>
      </c>
      <c r="I381">
        <v>12.88</v>
      </c>
      <c r="K381" s="19"/>
      <c r="N381" s="19"/>
    </row>
    <row r="382" spans="2:14" x14ac:dyDescent="0.25">
      <c r="B382" s="19">
        <v>42234</v>
      </c>
      <c r="C382">
        <v>43.75</v>
      </c>
      <c r="E382" s="19">
        <v>42234</v>
      </c>
      <c r="F382">
        <v>59.34</v>
      </c>
      <c r="H382" s="19">
        <v>42234</v>
      </c>
      <c r="I382">
        <v>12.9</v>
      </c>
      <c r="K382" s="19"/>
      <c r="N382" s="19"/>
    </row>
    <row r="383" spans="2:14" x14ac:dyDescent="0.25">
      <c r="B383" s="19">
        <v>42235</v>
      </c>
      <c r="C383">
        <v>42.965000000000003</v>
      </c>
      <c r="E383" s="19">
        <v>42235</v>
      </c>
      <c r="F383">
        <v>58.94</v>
      </c>
      <c r="H383" s="19">
        <v>42235</v>
      </c>
      <c r="I383">
        <v>12.74</v>
      </c>
      <c r="K383" s="19"/>
      <c r="N383" s="19"/>
    </row>
    <row r="384" spans="2:14" x14ac:dyDescent="0.25">
      <c r="B384" s="19">
        <v>42236</v>
      </c>
      <c r="C384">
        <v>42.55</v>
      </c>
      <c r="E384" s="19">
        <v>42236</v>
      </c>
      <c r="F384">
        <v>57.82</v>
      </c>
      <c r="H384" s="19">
        <v>42236</v>
      </c>
      <c r="I384">
        <v>12.25</v>
      </c>
      <c r="K384" s="19"/>
      <c r="N384" s="19"/>
    </row>
    <row r="385" spans="2:14" x14ac:dyDescent="0.25">
      <c r="B385" s="19">
        <v>42237</v>
      </c>
      <c r="C385">
        <v>41.08</v>
      </c>
      <c r="E385" s="19">
        <v>42237</v>
      </c>
      <c r="F385">
        <v>55.58</v>
      </c>
      <c r="H385" s="19">
        <v>42237</v>
      </c>
      <c r="I385">
        <v>11.94</v>
      </c>
      <c r="K385" s="19"/>
      <c r="N385" s="19"/>
    </row>
    <row r="386" spans="2:14" x14ac:dyDescent="0.25">
      <c r="B386" s="19">
        <v>42240</v>
      </c>
      <c r="C386">
        <v>37.835000000000001</v>
      </c>
      <c r="E386" s="19">
        <v>42240</v>
      </c>
      <c r="F386">
        <v>52.85</v>
      </c>
      <c r="H386" s="19">
        <v>42240</v>
      </c>
      <c r="I386">
        <v>11.45</v>
      </c>
      <c r="K386" s="19"/>
      <c r="N386" s="19"/>
    </row>
    <row r="387" spans="2:14" x14ac:dyDescent="0.25">
      <c r="B387" s="19">
        <v>42241</v>
      </c>
      <c r="C387">
        <v>39.094999999999999</v>
      </c>
      <c r="E387" s="19">
        <v>42241</v>
      </c>
      <c r="F387">
        <v>55.49</v>
      </c>
      <c r="H387" s="19">
        <v>42241</v>
      </c>
      <c r="I387">
        <v>11.965</v>
      </c>
      <c r="K387" s="19"/>
      <c r="N387" s="19"/>
    </row>
    <row r="388" spans="2:14" x14ac:dyDescent="0.25">
      <c r="B388" s="19">
        <v>42242</v>
      </c>
      <c r="C388">
        <v>37.704999999999998</v>
      </c>
      <c r="E388" s="19">
        <v>42242</v>
      </c>
      <c r="F388">
        <v>55.07</v>
      </c>
      <c r="H388" s="19">
        <v>42242</v>
      </c>
      <c r="I388">
        <v>11.875</v>
      </c>
      <c r="K388" s="19"/>
      <c r="N388" s="19"/>
    </row>
    <row r="389" spans="2:14" x14ac:dyDescent="0.25">
      <c r="B389" s="19">
        <v>42243</v>
      </c>
      <c r="C389">
        <v>40.18</v>
      </c>
      <c r="E389" s="19">
        <v>42243</v>
      </c>
      <c r="F389">
        <v>56.55</v>
      </c>
      <c r="H389" s="19">
        <v>42243</v>
      </c>
      <c r="I389">
        <v>12.185</v>
      </c>
      <c r="K389" s="19"/>
      <c r="N389" s="19"/>
    </row>
    <row r="390" spans="2:14" x14ac:dyDescent="0.25">
      <c r="B390" s="19">
        <v>42244</v>
      </c>
      <c r="C390">
        <v>41.18</v>
      </c>
      <c r="E390" s="19">
        <v>42244</v>
      </c>
      <c r="F390">
        <v>56.65</v>
      </c>
      <c r="H390" s="19">
        <v>42244</v>
      </c>
      <c r="I390">
        <v>12.21</v>
      </c>
      <c r="K390" s="19"/>
      <c r="N390" s="19"/>
    </row>
    <row r="391" spans="2:14" x14ac:dyDescent="0.25">
      <c r="B391" s="19">
        <v>42247</v>
      </c>
      <c r="C391">
        <v>40.805</v>
      </c>
      <c r="E391" s="19">
        <v>42247</v>
      </c>
      <c r="F391">
        <v>56.27</v>
      </c>
      <c r="H391" s="19">
        <v>42247</v>
      </c>
      <c r="I391">
        <v>12.085000000000001</v>
      </c>
      <c r="K391" s="19"/>
      <c r="N391" s="19"/>
    </row>
    <row r="392" spans="2:14" x14ac:dyDescent="0.25">
      <c r="B392" s="19">
        <v>42248</v>
      </c>
      <c r="C392">
        <v>40.409999999999997</v>
      </c>
      <c r="E392" s="19">
        <v>42248</v>
      </c>
      <c r="F392">
        <v>54.61</v>
      </c>
      <c r="H392" s="19">
        <v>42248</v>
      </c>
      <c r="I392">
        <v>11.744999999999999</v>
      </c>
      <c r="K392" s="19"/>
      <c r="N392" s="19"/>
    </row>
    <row r="393" spans="2:14" x14ac:dyDescent="0.25">
      <c r="B393" s="19">
        <v>42249</v>
      </c>
      <c r="C393">
        <v>40.06</v>
      </c>
      <c r="E393" s="19">
        <v>42249</v>
      </c>
      <c r="F393">
        <v>54.88</v>
      </c>
      <c r="H393" s="19">
        <v>42249</v>
      </c>
      <c r="I393">
        <v>11.8</v>
      </c>
      <c r="K393" s="19"/>
      <c r="N393" s="19"/>
    </row>
    <row r="394" spans="2:14" x14ac:dyDescent="0.25">
      <c r="B394" s="19">
        <v>42250</v>
      </c>
      <c r="C394">
        <v>41.44</v>
      </c>
      <c r="E394" s="19">
        <v>42250</v>
      </c>
      <c r="F394">
        <v>56.12</v>
      </c>
      <c r="H394" s="19">
        <v>42250</v>
      </c>
      <c r="I394">
        <v>12.005000000000001</v>
      </c>
      <c r="K394" s="19"/>
      <c r="N394" s="19"/>
    </row>
    <row r="395" spans="2:14" x14ac:dyDescent="0.25">
      <c r="B395" s="19">
        <v>42251</v>
      </c>
      <c r="C395">
        <v>39.96</v>
      </c>
      <c r="E395" s="19">
        <v>42251</v>
      </c>
      <c r="F395">
        <v>54.49</v>
      </c>
      <c r="H395" s="19">
        <v>42251</v>
      </c>
      <c r="I395">
        <v>11.73</v>
      </c>
      <c r="K395" s="19"/>
      <c r="N395" s="19"/>
    </row>
    <row r="396" spans="2:14" x14ac:dyDescent="0.25">
      <c r="B396" s="19">
        <v>42254</v>
      </c>
      <c r="C396">
        <v>39.97</v>
      </c>
      <c r="E396" s="19">
        <v>42254</v>
      </c>
      <c r="F396">
        <v>54.5</v>
      </c>
      <c r="H396" s="19">
        <v>42254</v>
      </c>
      <c r="I396">
        <v>11.7</v>
      </c>
      <c r="K396" s="19"/>
      <c r="N396" s="19"/>
    </row>
    <row r="397" spans="2:14" x14ac:dyDescent="0.25">
      <c r="B397" s="19">
        <v>42255</v>
      </c>
      <c r="C397">
        <v>40.365000000000002</v>
      </c>
      <c r="E397" s="19">
        <v>42255</v>
      </c>
      <c r="F397">
        <v>55.55</v>
      </c>
      <c r="H397" s="19">
        <v>42255</v>
      </c>
      <c r="I397">
        <v>11.71</v>
      </c>
      <c r="K397" s="19"/>
      <c r="N397" s="19"/>
    </row>
    <row r="398" spans="2:14" x14ac:dyDescent="0.25">
      <c r="B398" s="19">
        <v>42256</v>
      </c>
      <c r="C398">
        <v>40.71</v>
      </c>
      <c r="E398" s="19">
        <v>42256</v>
      </c>
      <c r="F398">
        <v>56.45</v>
      </c>
      <c r="H398" s="19">
        <v>42256</v>
      </c>
      <c r="I398">
        <v>11.86</v>
      </c>
      <c r="K398" s="19"/>
      <c r="N398" s="19"/>
    </row>
    <row r="399" spans="2:14" x14ac:dyDescent="0.25">
      <c r="B399" s="19">
        <v>42257</v>
      </c>
      <c r="C399">
        <v>39.945</v>
      </c>
      <c r="E399" s="19">
        <v>42257</v>
      </c>
      <c r="F399">
        <v>55.59</v>
      </c>
      <c r="H399" s="19">
        <v>42257</v>
      </c>
      <c r="I399">
        <v>11.68</v>
      </c>
      <c r="K399" s="19"/>
      <c r="N399" s="19"/>
    </row>
    <row r="400" spans="2:14" x14ac:dyDescent="0.25">
      <c r="B400" s="19">
        <v>42258</v>
      </c>
      <c r="C400">
        <v>39.69</v>
      </c>
      <c r="E400" s="19">
        <v>42258</v>
      </c>
      <c r="F400">
        <v>55.24</v>
      </c>
      <c r="H400" s="19">
        <v>42258</v>
      </c>
      <c r="I400">
        <v>11.53</v>
      </c>
      <c r="K400" s="19"/>
      <c r="N400" s="19"/>
    </row>
    <row r="401" spans="2:14" x14ac:dyDescent="0.25">
      <c r="B401" s="19">
        <v>42261</v>
      </c>
      <c r="C401">
        <v>39.765000000000001</v>
      </c>
      <c r="E401" s="19">
        <v>42261</v>
      </c>
      <c r="F401">
        <v>54.57</v>
      </c>
      <c r="H401" s="19">
        <v>42261</v>
      </c>
      <c r="I401">
        <v>11.19</v>
      </c>
      <c r="K401" s="19"/>
      <c r="N401" s="19"/>
    </row>
    <row r="402" spans="2:14" x14ac:dyDescent="0.25">
      <c r="B402" s="19">
        <v>42262</v>
      </c>
      <c r="C402">
        <v>40.984999999999999</v>
      </c>
      <c r="E402" s="19">
        <v>42262</v>
      </c>
      <c r="F402">
        <v>55.08</v>
      </c>
      <c r="H402" s="19">
        <v>42262</v>
      </c>
      <c r="I402">
        <v>11.33</v>
      </c>
      <c r="K402" s="19"/>
      <c r="N402" s="19"/>
    </row>
    <row r="403" spans="2:14" x14ac:dyDescent="0.25">
      <c r="B403" s="19">
        <v>42263</v>
      </c>
      <c r="C403">
        <v>42.13</v>
      </c>
      <c r="E403" s="19">
        <v>42263</v>
      </c>
      <c r="F403">
        <v>55.25</v>
      </c>
      <c r="H403" s="19">
        <v>42263</v>
      </c>
      <c r="I403">
        <v>11.36</v>
      </c>
      <c r="K403" s="19"/>
      <c r="N403" s="19"/>
    </row>
    <row r="404" spans="2:14" x14ac:dyDescent="0.25">
      <c r="B404" s="19">
        <v>42264</v>
      </c>
      <c r="C404">
        <v>41.99</v>
      </c>
      <c r="E404" s="19">
        <v>42264</v>
      </c>
      <c r="F404">
        <v>55.65</v>
      </c>
      <c r="H404" s="19">
        <v>42264</v>
      </c>
      <c r="I404">
        <v>11.29</v>
      </c>
      <c r="K404" s="19"/>
      <c r="N404" s="19"/>
    </row>
    <row r="405" spans="2:14" x14ac:dyDescent="0.25">
      <c r="B405" s="19">
        <v>42265</v>
      </c>
      <c r="C405">
        <v>40.774999999999999</v>
      </c>
      <c r="E405" s="19">
        <v>42265</v>
      </c>
      <c r="F405">
        <v>52.98</v>
      </c>
      <c r="H405" s="19">
        <v>42265</v>
      </c>
      <c r="I405">
        <v>11.005000000000001</v>
      </c>
      <c r="K405" s="19"/>
      <c r="N405" s="19"/>
    </row>
    <row r="406" spans="2:14" x14ac:dyDescent="0.25">
      <c r="B406" s="19">
        <v>42268</v>
      </c>
      <c r="C406">
        <v>40.82</v>
      </c>
      <c r="E406" s="19">
        <v>42268</v>
      </c>
      <c r="F406">
        <v>53.69</v>
      </c>
      <c r="H406" s="19">
        <v>42268</v>
      </c>
      <c r="I406">
        <v>11.095000000000001</v>
      </c>
      <c r="K406" s="19"/>
      <c r="N406" s="19"/>
    </row>
    <row r="407" spans="2:14" x14ac:dyDescent="0.25">
      <c r="B407" s="19">
        <v>42269</v>
      </c>
      <c r="C407">
        <v>39.76</v>
      </c>
      <c r="E407" s="19">
        <v>42269</v>
      </c>
      <c r="F407">
        <v>51.87</v>
      </c>
      <c r="H407" s="19">
        <v>42269</v>
      </c>
      <c r="I407">
        <v>10.734999999999999</v>
      </c>
      <c r="K407" s="19"/>
      <c r="N407" s="19"/>
    </row>
    <row r="408" spans="2:14" x14ac:dyDescent="0.25">
      <c r="B408" s="19">
        <v>42270</v>
      </c>
      <c r="C408">
        <v>40.625</v>
      </c>
      <c r="E408" s="19">
        <v>42270</v>
      </c>
      <c r="F408">
        <v>51.15</v>
      </c>
      <c r="H408" s="19">
        <v>42270</v>
      </c>
      <c r="I408">
        <v>10.455</v>
      </c>
      <c r="K408" s="19"/>
      <c r="N408" s="19"/>
    </row>
    <row r="409" spans="2:14" x14ac:dyDescent="0.25">
      <c r="B409" s="19">
        <v>42271</v>
      </c>
      <c r="C409">
        <v>39.604999999999997</v>
      </c>
      <c r="E409" s="19">
        <v>42271</v>
      </c>
      <c r="F409">
        <v>50.92</v>
      </c>
      <c r="H409" s="19">
        <v>42271</v>
      </c>
      <c r="I409">
        <v>10.345000000000001</v>
      </c>
      <c r="K409" s="19"/>
      <c r="N409" s="19"/>
    </row>
    <row r="410" spans="2:14" x14ac:dyDescent="0.25">
      <c r="B410" s="19">
        <v>42272</v>
      </c>
      <c r="C410">
        <v>40.384999999999998</v>
      </c>
      <c r="E410" s="19">
        <v>42272</v>
      </c>
      <c r="F410">
        <v>52.55</v>
      </c>
      <c r="H410" s="19">
        <v>42272</v>
      </c>
      <c r="I410">
        <v>10.5</v>
      </c>
      <c r="K410" s="19"/>
      <c r="N410" s="19"/>
    </row>
    <row r="411" spans="2:14" x14ac:dyDescent="0.25">
      <c r="B411" s="19">
        <v>42275</v>
      </c>
      <c r="C411">
        <v>38.765000000000001</v>
      </c>
      <c r="E411" s="19">
        <v>42275</v>
      </c>
      <c r="F411">
        <v>50.52</v>
      </c>
      <c r="H411" s="19">
        <v>42275</v>
      </c>
      <c r="I411">
        <v>10.14</v>
      </c>
      <c r="K411" s="19"/>
      <c r="N411" s="19"/>
    </row>
    <row r="412" spans="2:14" x14ac:dyDescent="0.25">
      <c r="B412" s="19">
        <v>42276</v>
      </c>
      <c r="C412">
        <v>39.185000000000002</v>
      </c>
      <c r="E412" s="19">
        <v>42276</v>
      </c>
      <c r="F412">
        <v>50.9</v>
      </c>
      <c r="H412" s="19">
        <v>42276</v>
      </c>
      <c r="I412">
        <v>10.105</v>
      </c>
      <c r="K412" s="19"/>
      <c r="N412" s="19"/>
    </row>
    <row r="413" spans="2:14" x14ac:dyDescent="0.25">
      <c r="B413" s="19">
        <v>42277</v>
      </c>
      <c r="C413">
        <v>40.200000000000003</v>
      </c>
      <c r="E413" s="19">
        <v>42277</v>
      </c>
      <c r="F413">
        <v>52.46</v>
      </c>
      <c r="H413" s="19">
        <v>42277</v>
      </c>
      <c r="I413">
        <v>10.255000000000001</v>
      </c>
      <c r="K413" s="19"/>
      <c r="N413" s="19"/>
    </row>
    <row r="414" spans="2:14" x14ac:dyDescent="0.25">
      <c r="B414" s="19">
        <v>42278</v>
      </c>
      <c r="C414">
        <v>40.375</v>
      </c>
      <c r="E414" s="19">
        <v>42278</v>
      </c>
      <c r="F414">
        <v>51.72</v>
      </c>
      <c r="H414" s="19">
        <v>42278</v>
      </c>
      <c r="I414">
        <v>10.26</v>
      </c>
      <c r="K414" s="19"/>
      <c r="N414" s="19"/>
    </row>
    <row r="415" spans="2:14" x14ac:dyDescent="0.25">
      <c r="B415" s="19">
        <v>42279</v>
      </c>
      <c r="C415">
        <v>41.25</v>
      </c>
      <c r="E415" s="19">
        <v>42279</v>
      </c>
      <c r="F415">
        <v>51.92</v>
      </c>
      <c r="H415" s="19">
        <v>42279</v>
      </c>
      <c r="I415">
        <v>10.315</v>
      </c>
      <c r="K415" s="19"/>
      <c r="N415" s="19"/>
    </row>
    <row r="416" spans="2:14" x14ac:dyDescent="0.25">
      <c r="B416" s="19">
        <v>42282</v>
      </c>
      <c r="C416">
        <v>42.975000000000001</v>
      </c>
      <c r="E416" s="19">
        <v>42282</v>
      </c>
      <c r="F416">
        <v>54.01</v>
      </c>
      <c r="H416" s="19">
        <v>42282</v>
      </c>
      <c r="I416">
        <v>10.55</v>
      </c>
      <c r="K416" s="19"/>
      <c r="N416" s="19"/>
    </row>
    <row r="417" spans="2:14" x14ac:dyDescent="0.25">
      <c r="B417" s="19">
        <v>42283</v>
      </c>
      <c r="C417">
        <v>44.405000000000001</v>
      </c>
      <c r="E417" s="19">
        <v>42283</v>
      </c>
      <c r="F417">
        <v>54.08</v>
      </c>
      <c r="H417" s="19">
        <v>42283</v>
      </c>
      <c r="I417">
        <v>10.98</v>
      </c>
      <c r="K417" s="19"/>
      <c r="N417" s="19"/>
    </row>
    <row r="418" spans="2:14" x14ac:dyDescent="0.25">
      <c r="B418" s="19">
        <v>42284</v>
      </c>
      <c r="C418">
        <v>45.4</v>
      </c>
      <c r="E418" s="19">
        <v>42284</v>
      </c>
      <c r="F418">
        <v>54.05</v>
      </c>
      <c r="H418" s="19">
        <v>42284</v>
      </c>
      <c r="I418">
        <v>11.205</v>
      </c>
      <c r="K418" s="19"/>
      <c r="N418" s="19"/>
    </row>
    <row r="419" spans="2:14" x14ac:dyDescent="0.25">
      <c r="B419" s="19">
        <v>42285</v>
      </c>
      <c r="C419">
        <v>45.34</v>
      </c>
      <c r="E419" s="19">
        <v>42285</v>
      </c>
      <c r="F419">
        <v>53.45</v>
      </c>
      <c r="H419" s="19">
        <v>42285</v>
      </c>
      <c r="I419">
        <v>11.205</v>
      </c>
      <c r="K419" s="19"/>
      <c r="N419" s="19"/>
    </row>
    <row r="420" spans="2:14" x14ac:dyDescent="0.25">
      <c r="B420" s="19">
        <v>42286</v>
      </c>
      <c r="C420">
        <v>45.25</v>
      </c>
      <c r="E420" s="19">
        <v>42286</v>
      </c>
      <c r="F420">
        <v>53.81</v>
      </c>
      <c r="H420" s="19">
        <v>42286</v>
      </c>
      <c r="I420">
        <v>11.345000000000001</v>
      </c>
      <c r="K420" s="19"/>
      <c r="N420" s="19"/>
    </row>
    <row r="421" spans="2:14" x14ac:dyDescent="0.25">
      <c r="B421" s="19">
        <v>42289</v>
      </c>
      <c r="C421">
        <v>45.15</v>
      </c>
      <c r="E421" s="19">
        <v>42289</v>
      </c>
      <c r="F421">
        <v>53.97</v>
      </c>
      <c r="H421" s="19">
        <v>42289</v>
      </c>
      <c r="I421">
        <v>11.244999999999999</v>
      </c>
      <c r="K421" s="19"/>
      <c r="N421" s="19"/>
    </row>
    <row r="422" spans="2:14" x14ac:dyDescent="0.25">
      <c r="B422" s="19">
        <v>42290</v>
      </c>
      <c r="C422">
        <v>44.91</v>
      </c>
      <c r="E422" s="19">
        <v>42290</v>
      </c>
      <c r="F422">
        <v>53.38</v>
      </c>
      <c r="H422" s="19">
        <v>42290</v>
      </c>
      <c r="I422">
        <v>11.005000000000001</v>
      </c>
      <c r="K422" s="19"/>
      <c r="N422" s="19"/>
    </row>
    <row r="423" spans="2:14" x14ac:dyDescent="0.25">
      <c r="B423" s="19">
        <v>42291</v>
      </c>
      <c r="C423">
        <v>44.634999999999998</v>
      </c>
      <c r="E423" s="19">
        <v>42291</v>
      </c>
      <c r="F423">
        <v>53.12</v>
      </c>
      <c r="H423" s="19">
        <v>42291</v>
      </c>
      <c r="I423">
        <v>10.935</v>
      </c>
      <c r="K423" s="19"/>
      <c r="N423" s="19"/>
    </row>
    <row r="424" spans="2:14" x14ac:dyDescent="0.25">
      <c r="B424" s="19">
        <v>42292</v>
      </c>
      <c r="C424">
        <v>45.115000000000002</v>
      </c>
      <c r="E424" s="19">
        <v>42292</v>
      </c>
      <c r="F424">
        <v>53.97</v>
      </c>
      <c r="H424" s="19">
        <v>42292</v>
      </c>
      <c r="I424">
        <v>10.96</v>
      </c>
      <c r="K424" s="19"/>
      <c r="N424" s="19"/>
    </row>
    <row r="425" spans="2:14" x14ac:dyDescent="0.25">
      <c r="B425" s="19">
        <v>42293</v>
      </c>
      <c r="C425">
        <v>45.6</v>
      </c>
      <c r="E425" s="19">
        <v>42293</v>
      </c>
      <c r="F425">
        <v>54.99</v>
      </c>
      <c r="H425" s="19">
        <v>42293</v>
      </c>
      <c r="I425">
        <v>11.095000000000001</v>
      </c>
      <c r="K425" s="19"/>
      <c r="N425" s="19"/>
    </row>
    <row r="426" spans="2:14" x14ac:dyDescent="0.25">
      <c r="B426" s="19">
        <v>42296</v>
      </c>
      <c r="C426">
        <v>44.965000000000003</v>
      </c>
      <c r="E426" s="19">
        <v>42296</v>
      </c>
      <c r="F426">
        <v>55.09</v>
      </c>
      <c r="H426" s="19">
        <v>42296</v>
      </c>
      <c r="I426">
        <v>11.16</v>
      </c>
      <c r="K426" s="19"/>
      <c r="N426" s="19"/>
    </row>
    <row r="427" spans="2:14" x14ac:dyDescent="0.25">
      <c r="B427" s="19">
        <v>42297</v>
      </c>
      <c r="C427">
        <v>44.55</v>
      </c>
      <c r="E427" s="19">
        <v>42297</v>
      </c>
      <c r="F427">
        <v>54.3</v>
      </c>
      <c r="H427" s="19">
        <v>42297</v>
      </c>
      <c r="I427">
        <v>11.05</v>
      </c>
      <c r="K427" s="19"/>
      <c r="N427" s="19"/>
    </row>
    <row r="428" spans="2:14" x14ac:dyDescent="0.25">
      <c r="B428" s="19">
        <v>42298</v>
      </c>
      <c r="C428">
        <v>44.91</v>
      </c>
      <c r="E428" s="19">
        <v>42298</v>
      </c>
      <c r="F428">
        <v>54.4</v>
      </c>
      <c r="H428" s="19">
        <v>42298</v>
      </c>
      <c r="I428">
        <v>11</v>
      </c>
      <c r="K428" s="19"/>
      <c r="N428" s="19"/>
    </row>
    <row r="429" spans="2:14" x14ac:dyDescent="0.25">
      <c r="B429" s="19">
        <v>42299</v>
      </c>
      <c r="C429">
        <v>45.365000000000002</v>
      </c>
      <c r="E429" s="19">
        <v>42299</v>
      </c>
      <c r="F429">
        <v>55.01</v>
      </c>
      <c r="H429" s="19">
        <v>42299</v>
      </c>
      <c r="I429">
        <v>11.154999999999999</v>
      </c>
      <c r="K429" s="19"/>
      <c r="N429" s="19"/>
    </row>
    <row r="430" spans="2:14" x14ac:dyDescent="0.25">
      <c r="B430" s="19">
        <v>42300</v>
      </c>
      <c r="C430">
        <v>45.5</v>
      </c>
      <c r="E430" s="19">
        <v>42300</v>
      </c>
      <c r="F430">
        <v>55.91</v>
      </c>
      <c r="H430" s="19">
        <v>42300</v>
      </c>
      <c r="I430">
        <v>11.46</v>
      </c>
      <c r="K430" s="19"/>
      <c r="N430" s="19"/>
    </row>
    <row r="431" spans="2:14" x14ac:dyDescent="0.25">
      <c r="B431" s="19">
        <v>42303</v>
      </c>
      <c r="C431">
        <v>44.615000000000002</v>
      </c>
      <c r="E431" s="19">
        <v>42303</v>
      </c>
      <c r="F431">
        <v>55.85</v>
      </c>
      <c r="H431" s="19">
        <v>42303</v>
      </c>
      <c r="I431">
        <v>11.59</v>
      </c>
      <c r="K431" s="19"/>
      <c r="N431" s="19"/>
    </row>
    <row r="432" spans="2:14" x14ac:dyDescent="0.25">
      <c r="B432" s="19">
        <v>42304</v>
      </c>
      <c r="C432">
        <v>43.64</v>
      </c>
      <c r="E432" s="19">
        <v>42304</v>
      </c>
      <c r="F432">
        <v>55.47</v>
      </c>
      <c r="H432" s="19">
        <v>42304</v>
      </c>
      <c r="I432">
        <v>11.494999999999999</v>
      </c>
      <c r="K432" s="19"/>
      <c r="N432" s="19"/>
    </row>
    <row r="433" spans="2:14" x14ac:dyDescent="0.25">
      <c r="B433" s="19">
        <v>42305</v>
      </c>
      <c r="C433">
        <v>44.01</v>
      </c>
      <c r="E433" s="19">
        <v>42305</v>
      </c>
      <c r="F433">
        <v>55.81</v>
      </c>
      <c r="H433" s="19">
        <v>42305</v>
      </c>
      <c r="I433">
        <v>11.565</v>
      </c>
      <c r="K433" s="19"/>
      <c r="N433" s="19"/>
    </row>
    <row r="434" spans="2:14" x14ac:dyDescent="0.25">
      <c r="B434" s="19">
        <v>42306</v>
      </c>
      <c r="C434">
        <v>44.33</v>
      </c>
      <c r="E434" s="19">
        <v>42306</v>
      </c>
      <c r="F434">
        <v>54.3</v>
      </c>
      <c r="H434" s="19">
        <v>42306</v>
      </c>
      <c r="I434">
        <v>11.385</v>
      </c>
      <c r="K434" s="19"/>
      <c r="N434" s="19"/>
    </row>
    <row r="435" spans="2:14" x14ac:dyDescent="0.25">
      <c r="B435" s="19">
        <v>42307</v>
      </c>
      <c r="C435">
        <v>44.145000000000003</v>
      </c>
      <c r="E435" s="19">
        <v>42307</v>
      </c>
      <c r="F435">
        <v>55.26</v>
      </c>
      <c r="H435" s="19">
        <v>42307</v>
      </c>
      <c r="I435">
        <v>11.52</v>
      </c>
      <c r="K435" s="19"/>
      <c r="N435" s="19"/>
    </row>
    <row r="436" spans="2:14" x14ac:dyDescent="0.25">
      <c r="B436" s="19">
        <v>42310</v>
      </c>
      <c r="C436">
        <v>44.62</v>
      </c>
      <c r="E436" s="19">
        <v>42310</v>
      </c>
      <c r="F436">
        <v>55.35</v>
      </c>
      <c r="H436" s="19">
        <v>42310</v>
      </c>
      <c r="I436">
        <v>11.695</v>
      </c>
      <c r="K436" s="19"/>
      <c r="N436" s="19"/>
    </row>
    <row r="437" spans="2:14" x14ac:dyDescent="0.25">
      <c r="B437" s="19">
        <v>42311</v>
      </c>
      <c r="C437">
        <v>46.24</v>
      </c>
      <c r="E437" s="19">
        <v>42311</v>
      </c>
      <c r="F437">
        <v>55.31</v>
      </c>
      <c r="H437" s="19">
        <v>42311</v>
      </c>
      <c r="I437">
        <v>11.74</v>
      </c>
      <c r="K437" s="19"/>
      <c r="N437" s="19"/>
    </row>
    <row r="438" spans="2:14" x14ac:dyDescent="0.25">
      <c r="B438" s="19">
        <v>42312</v>
      </c>
      <c r="C438">
        <v>46.295000000000002</v>
      </c>
      <c r="E438" s="19">
        <v>42312</v>
      </c>
      <c r="F438">
        <v>55.64</v>
      </c>
      <c r="H438" s="19">
        <v>42312</v>
      </c>
      <c r="I438">
        <v>11.77</v>
      </c>
      <c r="K438" s="19"/>
      <c r="N438" s="19"/>
    </row>
    <row r="439" spans="2:14" x14ac:dyDescent="0.25">
      <c r="B439" s="19">
        <v>42313</v>
      </c>
      <c r="C439">
        <v>46.13</v>
      </c>
      <c r="E439" s="19">
        <v>42313</v>
      </c>
      <c r="F439">
        <v>55.87</v>
      </c>
      <c r="H439" s="19">
        <v>42313</v>
      </c>
      <c r="I439">
        <v>10.795</v>
      </c>
      <c r="K439" s="19"/>
      <c r="N439" s="19"/>
    </row>
    <row r="440" spans="2:14" x14ac:dyDescent="0.25">
      <c r="B440" s="19">
        <v>42314</v>
      </c>
      <c r="C440">
        <v>46.234999999999999</v>
      </c>
      <c r="E440" s="19">
        <v>42314</v>
      </c>
      <c r="F440">
        <v>57.61</v>
      </c>
      <c r="H440" s="19">
        <v>42314</v>
      </c>
      <c r="I440">
        <v>11</v>
      </c>
      <c r="K440" s="19"/>
      <c r="N440" s="19"/>
    </row>
    <row r="441" spans="2:14" x14ac:dyDescent="0.25">
      <c r="B441" s="19">
        <v>42317</v>
      </c>
      <c r="C441">
        <v>45.92</v>
      </c>
      <c r="E441" s="19">
        <v>42317</v>
      </c>
      <c r="F441">
        <v>57.05</v>
      </c>
      <c r="H441" s="19">
        <v>42317</v>
      </c>
      <c r="I441">
        <v>11</v>
      </c>
      <c r="K441" s="19"/>
      <c r="N441" s="19"/>
    </row>
    <row r="442" spans="2:14" x14ac:dyDescent="0.25">
      <c r="B442" s="19">
        <v>42318</v>
      </c>
      <c r="C442">
        <v>46.015000000000001</v>
      </c>
      <c r="E442" s="19">
        <v>42318</v>
      </c>
      <c r="F442">
        <v>56.85</v>
      </c>
      <c r="H442" s="19">
        <v>42318</v>
      </c>
      <c r="I442">
        <v>10.96</v>
      </c>
      <c r="K442" s="19"/>
      <c r="N442" s="19"/>
    </row>
    <row r="443" spans="2:14" x14ac:dyDescent="0.25">
      <c r="B443" s="19">
        <v>42319</v>
      </c>
      <c r="C443">
        <v>46.04</v>
      </c>
      <c r="E443" s="19">
        <v>42319</v>
      </c>
      <c r="F443">
        <v>57.27</v>
      </c>
      <c r="H443" s="19">
        <v>42319</v>
      </c>
      <c r="I443">
        <v>11.37</v>
      </c>
      <c r="K443" s="19"/>
      <c r="N443" s="19"/>
    </row>
    <row r="444" spans="2:14" x14ac:dyDescent="0.25">
      <c r="B444" s="19">
        <v>42320</v>
      </c>
      <c r="C444">
        <v>44.935000000000002</v>
      </c>
      <c r="E444" s="19">
        <v>42320</v>
      </c>
      <c r="F444">
        <v>56.5</v>
      </c>
      <c r="H444" s="19">
        <v>42320</v>
      </c>
      <c r="I444">
        <v>11.234999999999999</v>
      </c>
      <c r="K444" s="19"/>
      <c r="N444" s="19"/>
    </row>
    <row r="445" spans="2:14" x14ac:dyDescent="0.25">
      <c r="B445" s="19">
        <v>42321</v>
      </c>
      <c r="C445">
        <v>44.435000000000002</v>
      </c>
      <c r="E445" s="19">
        <v>42321</v>
      </c>
      <c r="F445">
        <v>56.14</v>
      </c>
      <c r="H445" s="19">
        <v>42321</v>
      </c>
      <c r="I445">
        <v>11.19</v>
      </c>
      <c r="K445" s="19"/>
      <c r="N445" s="19"/>
    </row>
    <row r="446" spans="2:14" x14ac:dyDescent="0.25">
      <c r="B446" s="19">
        <v>42324</v>
      </c>
      <c r="C446">
        <v>44.774999999999999</v>
      </c>
      <c r="E446" s="19">
        <v>42324</v>
      </c>
      <c r="F446">
        <v>55.5</v>
      </c>
      <c r="H446" s="19">
        <v>42324</v>
      </c>
      <c r="I446">
        <v>10.99</v>
      </c>
      <c r="K446" s="19"/>
      <c r="N446" s="19"/>
    </row>
    <row r="447" spans="2:14" x14ac:dyDescent="0.25">
      <c r="B447" s="19">
        <v>42325</v>
      </c>
      <c r="C447">
        <v>46.454999999999998</v>
      </c>
      <c r="E447" s="19">
        <v>42325</v>
      </c>
      <c r="F447">
        <v>56.51</v>
      </c>
      <c r="H447" s="19">
        <v>42325</v>
      </c>
      <c r="I447">
        <v>11.21</v>
      </c>
      <c r="K447" s="19"/>
      <c r="N447" s="19"/>
    </row>
    <row r="448" spans="2:14" x14ac:dyDescent="0.25">
      <c r="B448" s="19">
        <v>42326</v>
      </c>
      <c r="C448">
        <v>46.66</v>
      </c>
      <c r="E448" s="19">
        <v>42326</v>
      </c>
      <c r="F448">
        <v>56.19</v>
      </c>
      <c r="H448" s="19">
        <v>42326</v>
      </c>
      <c r="I448">
        <v>11.35</v>
      </c>
      <c r="K448" s="19"/>
      <c r="N448" s="19"/>
    </row>
    <row r="449" spans="2:14" x14ac:dyDescent="0.25">
      <c r="B449" s="19">
        <v>42327</v>
      </c>
      <c r="C449">
        <v>46.6</v>
      </c>
      <c r="E449" s="19">
        <v>42327</v>
      </c>
      <c r="F449">
        <v>56.47</v>
      </c>
      <c r="H449" s="19">
        <v>42327</v>
      </c>
      <c r="I449">
        <v>11.515000000000001</v>
      </c>
      <c r="K449" s="19"/>
      <c r="N449" s="19"/>
    </row>
    <row r="450" spans="2:14" x14ac:dyDescent="0.25">
      <c r="B450" s="19">
        <v>42328</v>
      </c>
      <c r="C450">
        <v>46.255000000000003</v>
      </c>
      <c r="E450" s="19">
        <v>42328</v>
      </c>
      <c r="F450">
        <v>55.44</v>
      </c>
      <c r="H450" s="19">
        <v>42328</v>
      </c>
      <c r="I450">
        <v>11.3</v>
      </c>
      <c r="K450" s="19"/>
      <c r="N450" s="19"/>
    </row>
    <row r="451" spans="2:14" x14ac:dyDescent="0.25">
      <c r="B451" s="19">
        <v>42331</v>
      </c>
      <c r="C451">
        <v>45.765000000000001</v>
      </c>
      <c r="E451" s="19">
        <v>42331</v>
      </c>
      <c r="F451">
        <v>55.36</v>
      </c>
      <c r="H451" s="19">
        <v>42331</v>
      </c>
      <c r="I451">
        <v>11.3</v>
      </c>
      <c r="K451" s="19"/>
      <c r="N451" s="19"/>
    </row>
    <row r="452" spans="2:14" x14ac:dyDescent="0.25">
      <c r="B452" s="19">
        <v>42332</v>
      </c>
      <c r="C452">
        <v>46.085000000000001</v>
      </c>
      <c r="E452" s="19">
        <v>42332</v>
      </c>
      <c r="F452">
        <v>54.96</v>
      </c>
      <c r="H452" s="19">
        <v>42332</v>
      </c>
      <c r="I452">
        <v>11.205</v>
      </c>
      <c r="K452" s="19"/>
      <c r="N452" s="19"/>
    </row>
    <row r="453" spans="2:14" x14ac:dyDescent="0.25">
      <c r="B453" s="19">
        <v>42333</v>
      </c>
      <c r="C453">
        <v>46.35</v>
      </c>
      <c r="E453" s="19">
        <v>42333</v>
      </c>
      <c r="F453">
        <v>55.07</v>
      </c>
      <c r="H453" s="19">
        <v>42333</v>
      </c>
      <c r="I453">
        <v>11.21</v>
      </c>
      <c r="K453" s="19"/>
      <c r="N453" s="19"/>
    </row>
    <row r="454" spans="2:14" x14ac:dyDescent="0.25">
      <c r="B454" s="19">
        <v>42334</v>
      </c>
      <c r="C454">
        <v>47.03</v>
      </c>
      <c r="E454" s="19">
        <v>42334</v>
      </c>
      <c r="F454">
        <v>55.89</v>
      </c>
      <c r="H454" s="19">
        <v>42334</v>
      </c>
      <c r="I454">
        <v>11.4</v>
      </c>
      <c r="K454" s="19"/>
      <c r="N454" s="19"/>
    </row>
    <row r="455" spans="2:14" x14ac:dyDescent="0.25">
      <c r="B455" s="19">
        <v>42335</v>
      </c>
      <c r="C455">
        <v>46.62</v>
      </c>
      <c r="E455" s="19">
        <v>42335</v>
      </c>
      <c r="F455">
        <v>56.02</v>
      </c>
      <c r="H455" s="19">
        <v>42335</v>
      </c>
      <c r="I455">
        <v>11.395</v>
      </c>
      <c r="K455" s="19"/>
      <c r="N455" s="19"/>
    </row>
    <row r="456" spans="2:14" x14ac:dyDescent="0.25">
      <c r="B456" s="19">
        <v>42338</v>
      </c>
      <c r="C456">
        <v>47</v>
      </c>
      <c r="E456" s="19">
        <v>42338</v>
      </c>
      <c r="F456">
        <v>56.11</v>
      </c>
      <c r="H456" s="19">
        <v>42338</v>
      </c>
      <c r="I456">
        <v>11.42</v>
      </c>
      <c r="K456" s="19"/>
      <c r="N456" s="19"/>
    </row>
    <row r="457" spans="2:14" x14ac:dyDescent="0.25">
      <c r="B457" s="19">
        <v>42339</v>
      </c>
      <c r="C457">
        <v>46.79</v>
      </c>
      <c r="E457" s="19">
        <v>42339</v>
      </c>
      <c r="F457">
        <v>56.28</v>
      </c>
      <c r="H457" s="19">
        <v>42339</v>
      </c>
      <c r="I457">
        <v>11.414999999999999</v>
      </c>
      <c r="K457" s="19"/>
      <c r="N457" s="19"/>
    </row>
    <row r="458" spans="2:14" x14ac:dyDescent="0.25">
      <c r="B458" s="19">
        <v>42340</v>
      </c>
      <c r="C458">
        <v>46.65</v>
      </c>
      <c r="E458" s="19">
        <v>42340</v>
      </c>
      <c r="F458">
        <v>55.94</v>
      </c>
      <c r="H458" s="19">
        <v>42340</v>
      </c>
      <c r="I458">
        <v>11.305</v>
      </c>
      <c r="K458" s="19"/>
      <c r="N458" s="19"/>
    </row>
    <row r="459" spans="2:14" x14ac:dyDescent="0.25">
      <c r="B459" s="19">
        <v>42341</v>
      </c>
      <c r="C459">
        <v>44.465000000000003</v>
      </c>
      <c r="E459" s="19">
        <v>42341</v>
      </c>
      <c r="F459">
        <v>54.33</v>
      </c>
      <c r="H459" s="19">
        <v>42341</v>
      </c>
      <c r="I459">
        <v>11.15</v>
      </c>
      <c r="K459" s="19"/>
      <c r="N459" s="19"/>
    </row>
    <row r="460" spans="2:14" x14ac:dyDescent="0.25">
      <c r="B460" s="19">
        <v>42342</v>
      </c>
      <c r="C460">
        <v>43.454999999999998</v>
      </c>
      <c r="E460" s="19">
        <v>42342</v>
      </c>
      <c r="F460">
        <v>53.87</v>
      </c>
      <c r="H460" s="19">
        <v>42342</v>
      </c>
      <c r="I460">
        <v>11.095000000000001</v>
      </c>
      <c r="K460" s="19"/>
      <c r="N460" s="19"/>
    </row>
    <row r="461" spans="2:14" x14ac:dyDescent="0.25">
      <c r="B461" s="19">
        <v>42345</v>
      </c>
      <c r="C461">
        <v>42.84</v>
      </c>
      <c r="E461" s="19">
        <v>42345</v>
      </c>
      <c r="F461">
        <v>54.02</v>
      </c>
      <c r="H461" s="19">
        <v>42345</v>
      </c>
      <c r="I461">
        <v>10.965</v>
      </c>
      <c r="K461" s="19"/>
      <c r="N461" s="19"/>
    </row>
    <row r="462" spans="2:14" x14ac:dyDescent="0.25">
      <c r="B462" s="19">
        <v>42346</v>
      </c>
      <c r="C462">
        <v>42.43</v>
      </c>
      <c r="E462" s="19">
        <v>42346</v>
      </c>
      <c r="F462">
        <v>52.98</v>
      </c>
      <c r="H462" s="19">
        <v>42346</v>
      </c>
      <c r="I462">
        <v>10.66</v>
      </c>
      <c r="K462" s="19"/>
      <c r="N462" s="19"/>
    </row>
    <row r="463" spans="2:14" x14ac:dyDescent="0.25">
      <c r="B463" s="19">
        <v>42347</v>
      </c>
      <c r="C463">
        <v>42.825000000000003</v>
      </c>
      <c r="E463" s="19">
        <v>42347</v>
      </c>
      <c r="F463">
        <v>52.18</v>
      </c>
      <c r="H463" s="19">
        <v>42347</v>
      </c>
      <c r="I463">
        <v>10.574999999999999</v>
      </c>
      <c r="K463" s="19"/>
      <c r="N463" s="19"/>
    </row>
    <row r="464" spans="2:14" x14ac:dyDescent="0.25">
      <c r="B464" s="19">
        <v>42348</v>
      </c>
      <c r="C464">
        <v>43.08</v>
      </c>
      <c r="E464" s="19">
        <v>42348</v>
      </c>
      <c r="F464">
        <v>52.27</v>
      </c>
      <c r="H464" s="19">
        <v>42348</v>
      </c>
      <c r="I464">
        <v>10.44</v>
      </c>
      <c r="K464" s="19"/>
      <c r="N464" s="19"/>
    </row>
    <row r="465" spans="2:14" x14ac:dyDescent="0.25">
      <c r="B465" s="19">
        <v>42349</v>
      </c>
      <c r="C465">
        <v>41.8</v>
      </c>
      <c r="E465" s="19">
        <v>42349</v>
      </c>
      <c r="F465">
        <v>51.29</v>
      </c>
      <c r="H465" s="19">
        <v>42349</v>
      </c>
      <c r="I465">
        <v>10.23</v>
      </c>
      <c r="K465" s="19"/>
      <c r="N465" s="19"/>
    </row>
    <row r="466" spans="2:14" x14ac:dyDescent="0.25">
      <c r="B466" s="19">
        <v>42352</v>
      </c>
      <c r="C466">
        <v>40.58</v>
      </c>
      <c r="E466" s="19">
        <v>42352</v>
      </c>
      <c r="F466">
        <v>50.28</v>
      </c>
      <c r="H466" s="19">
        <v>42352</v>
      </c>
      <c r="I466">
        <v>10.119999999999999</v>
      </c>
      <c r="K466" s="19"/>
      <c r="N466" s="19"/>
    </row>
    <row r="467" spans="2:14" x14ac:dyDescent="0.25">
      <c r="B467" s="19">
        <v>42353</v>
      </c>
      <c r="C467">
        <v>42.284999999999997</v>
      </c>
      <c r="E467" s="19">
        <v>42353</v>
      </c>
      <c r="F467">
        <v>52.45</v>
      </c>
      <c r="H467" s="19">
        <v>42353</v>
      </c>
      <c r="I467">
        <v>10.435</v>
      </c>
      <c r="K467" s="19"/>
      <c r="N467" s="19"/>
    </row>
    <row r="468" spans="2:14" x14ac:dyDescent="0.25">
      <c r="B468" s="19">
        <v>42354</v>
      </c>
      <c r="C468">
        <v>42.075000000000003</v>
      </c>
      <c r="E468" s="19">
        <v>42354</v>
      </c>
      <c r="F468">
        <v>52.48</v>
      </c>
      <c r="H468" s="19">
        <v>42354</v>
      </c>
      <c r="I468">
        <v>10.475</v>
      </c>
      <c r="K468" s="19"/>
      <c r="N468" s="19"/>
    </row>
    <row r="469" spans="2:14" x14ac:dyDescent="0.25">
      <c r="B469" s="19">
        <v>42355</v>
      </c>
      <c r="C469">
        <v>41.9</v>
      </c>
      <c r="E469" s="19">
        <v>42355</v>
      </c>
      <c r="F469">
        <v>53.28</v>
      </c>
      <c r="H469" s="19">
        <v>42355</v>
      </c>
      <c r="I469">
        <v>10.65</v>
      </c>
      <c r="K469" s="19"/>
      <c r="N469" s="19"/>
    </row>
    <row r="470" spans="2:14" x14ac:dyDescent="0.25">
      <c r="B470" s="19">
        <v>42356</v>
      </c>
      <c r="C470">
        <v>42.01</v>
      </c>
      <c r="E470" s="19">
        <v>42356</v>
      </c>
      <c r="F470">
        <v>53.19</v>
      </c>
      <c r="H470" s="19">
        <v>42356</v>
      </c>
      <c r="I470">
        <v>10.57</v>
      </c>
      <c r="K470" s="19"/>
      <c r="N470" s="19"/>
    </row>
    <row r="471" spans="2:14" x14ac:dyDescent="0.25">
      <c r="B471" s="19">
        <v>42359</v>
      </c>
      <c r="C471">
        <v>40.725000000000001</v>
      </c>
      <c r="E471" s="19">
        <v>42359</v>
      </c>
      <c r="F471">
        <v>52.59</v>
      </c>
      <c r="H471" s="19">
        <v>42359</v>
      </c>
      <c r="I471">
        <v>10.375</v>
      </c>
      <c r="K471" s="19"/>
      <c r="N471" s="19"/>
    </row>
    <row r="472" spans="2:14" x14ac:dyDescent="0.25">
      <c r="B472" s="19">
        <v>42360</v>
      </c>
      <c r="C472">
        <v>40.814999999999998</v>
      </c>
      <c r="E472" s="19">
        <v>42360</v>
      </c>
      <c r="F472">
        <v>52.7</v>
      </c>
      <c r="H472" s="19">
        <v>42360</v>
      </c>
      <c r="I472">
        <v>10.625</v>
      </c>
      <c r="K472" s="19"/>
      <c r="N472" s="19"/>
    </row>
    <row r="473" spans="2:14" x14ac:dyDescent="0.25">
      <c r="B473" s="19">
        <v>42361</v>
      </c>
      <c r="C473">
        <v>42.115000000000002</v>
      </c>
      <c r="E473" s="19">
        <v>42361</v>
      </c>
      <c r="F473">
        <v>53.71</v>
      </c>
      <c r="H473" s="19">
        <v>42361</v>
      </c>
      <c r="I473">
        <v>10.845000000000001</v>
      </c>
      <c r="K473" s="19"/>
      <c r="N473" s="19"/>
    </row>
    <row r="474" spans="2:14" x14ac:dyDescent="0.25">
      <c r="B474" s="19">
        <v>42362</v>
      </c>
      <c r="C474">
        <v>42.104999999999997</v>
      </c>
      <c r="E474" s="19">
        <v>42362</v>
      </c>
      <c r="F474">
        <v>53.3</v>
      </c>
      <c r="H474" s="19">
        <v>42362</v>
      </c>
      <c r="I474">
        <v>10.89</v>
      </c>
      <c r="K474" s="19"/>
      <c r="N474" s="19"/>
    </row>
    <row r="475" spans="2:14" x14ac:dyDescent="0.25">
      <c r="B475" s="19">
        <v>42366</v>
      </c>
      <c r="C475">
        <v>41.38</v>
      </c>
      <c r="E475" s="19">
        <v>42366</v>
      </c>
      <c r="F475">
        <v>52.36</v>
      </c>
      <c r="H475" s="19">
        <v>42366</v>
      </c>
      <c r="I475">
        <v>10.68</v>
      </c>
      <c r="K475" s="19"/>
      <c r="N475" s="19"/>
    </row>
    <row r="476" spans="2:14" x14ac:dyDescent="0.25">
      <c r="B476" s="19">
        <v>42367</v>
      </c>
      <c r="C476">
        <v>42.14</v>
      </c>
      <c r="E476" s="19">
        <v>42367</v>
      </c>
      <c r="F476">
        <v>53.1</v>
      </c>
      <c r="H476" s="19">
        <v>42367</v>
      </c>
      <c r="I476">
        <v>10.86</v>
      </c>
      <c r="K476" s="19"/>
      <c r="N476" s="19"/>
    </row>
    <row r="477" spans="2:14" x14ac:dyDescent="0.25">
      <c r="B477" s="19">
        <v>42368</v>
      </c>
      <c r="C477">
        <v>41.564999999999998</v>
      </c>
      <c r="E477" s="19">
        <v>42368</v>
      </c>
      <c r="F477">
        <v>52.59</v>
      </c>
      <c r="H477" s="19">
        <v>42368</v>
      </c>
      <c r="I477">
        <v>10.895</v>
      </c>
      <c r="K477" s="19"/>
      <c r="N477" s="19"/>
    </row>
    <row r="478" spans="2:14" x14ac:dyDescent="0.25">
      <c r="B478" s="19">
        <v>42369</v>
      </c>
      <c r="C478">
        <v>41.265000000000001</v>
      </c>
      <c r="E478" s="19">
        <v>42369</v>
      </c>
      <c r="F478">
        <v>52.23</v>
      </c>
      <c r="H478" s="19">
        <v>42369</v>
      </c>
      <c r="I478">
        <v>10.88</v>
      </c>
      <c r="K478" s="19"/>
      <c r="N478" s="19"/>
    </row>
    <row r="479" spans="2:14" x14ac:dyDescent="0.25">
      <c r="B479" s="19">
        <v>42373</v>
      </c>
      <c r="C479">
        <v>40.524999999999999</v>
      </c>
      <c r="E479" s="19">
        <v>42373</v>
      </c>
      <c r="F479">
        <v>51.22</v>
      </c>
      <c r="H479" s="19">
        <v>42373</v>
      </c>
      <c r="I479">
        <v>10.62</v>
      </c>
      <c r="K479" s="19"/>
      <c r="N479" s="19"/>
    </row>
    <row r="480" spans="2:14" x14ac:dyDescent="0.25">
      <c r="B480" s="19">
        <v>42374</v>
      </c>
      <c r="C480">
        <v>40.155000000000001</v>
      </c>
      <c r="E480" s="19">
        <v>42374</v>
      </c>
      <c r="F480">
        <v>51.49</v>
      </c>
      <c r="H480" s="19">
        <v>42374</v>
      </c>
      <c r="I480">
        <v>10.664999999999999</v>
      </c>
      <c r="K480" s="19"/>
      <c r="N480" s="19"/>
    </row>
    <row r="481" spans="2:14" x14ac:dyDescent="0.25">
      <c r="B481" s="19">
        <v>42375</v>
      </c>
      <c r="C481">
        <v>39.770000000000003</v>
      </c>
      <c r="E481" s="19">
        <v>42375</v>
      </c>
      <c r="F481">
        <v>50.5</v>
      </c>
      <c r="H481" s="19">
        <v>42375</v>
      </c>
      <c r="I481">
        <v>10.41</v>
      </c>
      <c r="K481" s="19"/>
      <c r="N481" s="19"/>
    </row>
    <row r="482" spans="2:14" x14ac:dyDescent="0.25">
      <c r="B482" s="19">
        <v>42376</v>
      </c>
      <c r="C482">
        <v>38.805</v>
      </c>
      <c r="E482" s="19">
        <v>42376</v>
      </c>
      <c r="F482">
        <v>49.39</v>
      </c>
      <c r="H482" s="19">
        <v>42376</v>
      </c>
      <c r="I482">
        <v>10.154999999999999</v>
      </c>
      <c r="K482" s="19"/>
      <c r="N482" s="19"/>
    </row>
    <row r="483" spans="2:14" x14ac:dyDescent="0.25">
      <c r="B483" s="19">
        <v>42377</v>
      </c>
      <c r="C483">
        <v>37.35</v>
      </c>
      <c r="E483" s="19">
        <v>42377</v>
      </c>
      <c r="F483">
        <v>48</v>
      </c>
      <c r="H483" s="19">
        <v>42377</v>
      </c>
      <c r="I483">
        <v>10.015000000000001</v>
      </c>
      <c r="K483" s="19"/>
      <c r="N483" s="19"/>
    </row>
    <row r="484" spans="2:14" x14ac:dyDescent="0.25">
      <c r="B484" s="19">
        <v>42380</v>
      </c>
      <c r="C484">
        <v>37.35</v>
      </c>
      <c r="E484" s="19">
        <v>42380</v>
      </c>
      <c r="F484">
        <v>47.9</v>
      </c>
      <c r="H484" s="19">
        <v>42380</v>
      </c>
      <c r="I484">
        <v>10.055</v>
      </c>
      <c r="K484" s="19"/>
      <c r="N484" s="19"/>
    </row>
    <row r="485" spans="2:14" x14ac:dyDescent="0.25">
      <c r="B485" s="19">
        <v>42381</v>
      </c>
      <c r="C485">
        <v>37.25</v>
      </c>
      <c r="E485" s="19">
        <v>42381</v>
      </c>
      <c r="F485">
        <v>48.945</v>
      </c>
      <c r="H485" s="19">
        <v>42381</v>
      </c>
      <c r="I485">
        <v>10.17</v>
      </c>
      <c r="K485" s="19"/>
      <c r="N485" s="19"/>
    </row>
    <row r="486" spans="2:14" x14ac:dyDescent="0.25">
      <c r="B486" s="19">
        <v>42382</v>
      </c>
      <c r="C486">
        <v>37.85</v>
      </c>
      <c r="E486" s="19">
        <v>42382</v>
      </c>
      <c r="F486">
        <v>48.854999999999997</v>
      </c>
      <c r="H486" s="19">
        <v>42382</v>
      </c>
      <c r="I486">
        <v>10.175000000000001</v>
      </c>
      <c r="K486" s="19"/>
      <c r="N486" s="19"/>
    </row>
    <row r="487" spans="2:14" x14ac:dyDescent="0.25">
      <c r="B487" s="19">
        <v>42383</v>
      </c>
      <c r="C487">
        <v>38.83</v>
      </c>
      <c r="E487" s="19">
        <v>42383</v>
      </c>
      <c r="F487">
        <v>47.094999999999999</v>
      </c>
      <c r="H487" s="19">
        <v>42383</v>
      </c>
      <c r="I487">
        <v>10.045</v>
      </c>
      <c r="K487" s="19"/>
      <c r="N487" s="19"/>
    </row>
    <row r="488" spans="2:14" x14ac:dyDescent="0.25">
      <c r="B488" s="19">
        <v>42384</v>
      </c>
      <c r="C488">
        <v>37.655000000000001</v>
      </c>
      <c r="E488" s="19">
        <v>42384</v>
      </c>
      <c r="F488">
        <v>45.38</v>
      </c>
      <c r="H488" s="19">
        <v>42384</v>
      </c>
      <c r="I488">
        <v>9.6999999999999993</v>
      </c>
      <c r="K488" s="19"/>
      <c r="N488" s="19"/>
    </row>
    <row r="489" spans="2:14" x14ac:dyDescent="0.25">
      <c r="B489" s="19">
        <v>42387</v>
      </c>
      <c r="C489">
        <v>38.08</v>
      </c>
      <c r="E489" s="19">
        <v>42387</v>
      </c>
      <c r="F489">
        <v>44.33</v>
      </c>
      <c r="H489" s="19">
        <v>42387</v>
      </c>
      <c r="I489">
        <v>9.0589999999999993</v>
      </c>
      <c r="K489" s="19"/>
      <c r="N489" s="19"/>
    </row>
    <row r="490" spans="2:14" x14ac:dyDescent="0.25">
      <c r="B490" s="19">
        <v>42388</v>
      </c>
      <c r="C490">
        <v>38.619999999999997</v>
      </c>
      <c r="E490" s="19">
        <v>42388</v>
      </c>
      <c r="F490">
        <v>44.18</v>
      </c>
      <c r="H490" s="19">
        <v>42388</v>
      </c>
      <c r="I490">
        <v>9.282</v>
      </c>
      <c r="K490" s="19"/>
      <c r="N490" s="19"/>
    </row>
    <row r="491" spans="2:14" x14ac:dyDescent="0.25">
      <c r="B491" s="19">
        <v>42389</v>
      </c>
      <c r="C491">
        <v>36.520000000000003</v>
      </c>
      <c r="E491" s="19">
        <v>42389</v>
      </c>
      <c r="F491">
        <v>42.844999999999999</v>
      </c>
      <c r="H491" s="19">
        <v>42389</v>
      </c>
      <c r="I491">
        <v>8.8360000000000003</v>
      </c>
      <c r="K491" s="19"/>
      <c r="N491" s="19"/>
    </row>
    <row r="492" spans="2:14" x14ac:dyDescent="0.25">
      <c r="B492" s="19">
        <v>42390</v>
      </c>
      <c r="C492">
        <v>37.61</v>
      </c>
      <c r="E492" s="19">
        <v>42390</v>
      </c>
      <c r="F492">
        <v>43.384999999999998</v>
      </c>
      <c r="H492" s="19">
        <v>42390</v>
      </c>
      <c r="I492">
        <v>9.0429999999999993</v>
      </c>
      <c r="K492" s="19"/>
      <c r="N492" s="19"/>
    </row>
    <row r="493" spans="2:14" x14ac:dyDescent="0.25">
      <c r="B493" s="19">
        <v>42391</v>
      </c>
      <c r="C493">
        <v>39.26</v>
      </c>
      <c r="E493" s="19">
        <v>42391</v>
      </c>
      <c r="F493">
        <v>44.45</v>
      </c>
      <c r="H493" s="19">
        <v>42391</v>
      </c>
      <c r="I493">
        <v>9.2799999999999994</v>
      </c>
      <c r="K493" s="19"/>
      <c r="N493" s="19"/>
    </row>
    <row r="494" spans="2:14" x14ac:dyDescent="0.25">
      <c r="B494" s="19">
        <v>42394</v>
      </c>
      <c r="C494">
        <v>38.524999999999999</v>
      </c>
      <c r="E494" s="19">
        <v>42394</v>
      </c>
      <c r="F494">
        <v>43.174999999999997</v>
      </c>
      <c r="H494" s="19">
        <v>42394</v>
      </c>
      <c r="I494">
        <v>9.0410000000000004</v>
      </c>
      <c r="K494" s="19"/>
      <c r="N494" s="19"/>
    </row>
    <row r="495" spans="2:14" x14ac:dyDescent="0.25">
      <c r="B495" s="19">
        <v>42395</v>
      </c>
      <c r="C495">
        <v>39.65</v>
      </c>
      <c r="E495" s="19">
        <v>42395</v>
      </c>
      <c r="F495">
        <v>44.045000000000002</v>
      </c>
      <c r="H495" s="19">
        <v>42395</v>
      </c>
      <c r="I495">
        <v>9.2629999999999999</v>
      </c>
      <c r="K495" s="19"/>
      <c r="N495" s="19"/>
    </row>
    <row r="496" spans="2:14" x14ac:dyDescent="0.25">
      <c r="B496" s="19">
        <v>42396</v>
      </c>
      <c r="C496">
        <v>40.15</v>
      </c>
      <c r="E496" s="19">
        <v>42396</v>
      </c>
      <c r="F496">
        <v>44.16</v>
      </c>
      <c r="H496" s="19">
        <v>42396</v>
      </c>
      <c r="I496">
        <v>9.1859999999999999</v>
      </c>
      <c r="K496" s="19"/>
      <c r="N496" s="19"/>
    </row>
    <row r="497" spans="2:14" x14ac:dyDescent="0.25">
      <c r="B497" s="19">
        <v>42397</v>
      </c>
      <c r="C497">
        <v>40.215000000000003</v>
      </c>
      <c r="E497" s="19">
        <v>42397</v>
      </c>
      <c r="F497">
        <v>42.914999999999999</v>
      </c>
      <c r="H497" s="19">
        <v>42397</v>
      </c>
      <c r="I497">
        <v>8.9280000000000008</v>
      </c>
      <c r="K497" s="19"/>
      <c r="N497" s="19"/>
    </row>
    <row r="498" spans="2:14" x14ac:dyDescent="0.25">
      <c r="B498" s="19">
        <v>42398</v>
      </c>
      <c r="C498">
        <v>40.92</v>
      </c>
      <c r="E498" s="19">
        <v>42398</v>
      </c>
      <c r="F498">
        <v>43.725000000000001</v>
      </c>
      <c r="H498" s="19">
        <v>42398</v>
      </c>
      <c r="I498">
        <v>9.1959999999999997</v>
      </c>
      <c r="K498" s="19"/>
      <c r="N498" s="19"/>
    </row>
    <row r="499" spans="2:14" x14ac:dyDescent="0.25">
      <c r="B499" s="19">
        <v>42401</v>
      </c>
      <c r="C499">
        <v>40</v>
      </c>
      <c r="E499" s="19">
        <v>42401</v>
      </c>
      <c r="F499">
        <v>43.33</v>
      </c>
      <c r="H499" s="19">
        <v>42401</v>
      </c>
      <c r="I499">
        <v>9.1050000000000004</v>
      </c>
      <c r="K499" s="19"/>
      <c r="N499" s="19"/>
    </row>
    <row r="500" spans="2:14" x14ac:dyDescent="0.25">
      <c r="B500" s="19">
        <v>42402</v>
      </c>
      <c r="C500">
        <v>38.204999999999998</v>
      </c>
      <c r="E500" s="19">
        <v>42402</v>
      </c>
      <c r="F500">
        <v>40.875</v>
      </c>
      <c r="H500" s="19">
        <v>42402</v>
      </c>
      <c r="I500">
        <v>8.6530000000000005</v>
      </c>
      <c r="K500" s="19"/>
      <c r="N500" s="19"/>
    </row>
    <row r="501" spans="2:14" x14ac:dyDescent="0.25">
      <c r="B501" s="19">
        <v>42403</v>
      </c>
      <c r="C501">
        <v>38.42</v>
      </c>
      <c r="E501" s="19">
        <v>42403</v>
      </c>
      <c r="F501">
        <v>39.549999999999997</v>
      </c>
      <c r="H501" s="19">
        <v>42403</v>
      </c>
      <c r="I501">
        <v>8.3550000000000004</v>
      </c>
      <c r="K501" s="19"/>
      <c r="N501" s="19"/>
    </row>
    <row r="502" spans="2:14" x14ac:dyDescent="0.25">
      <c r="B502" s="19">
        <v>42404</v>
      </c>
      <c r="C502">
        <v>39.234999999999999</v>
      </c>
      <c r="E502" s="19">
        <v>42404</v>
      </c>
      <c r="F502">
        <v>40.965000000000003</v>
      </c>
      <c r="H502" s="19">
        <v>42404</v>
      </c>
      <c r="I502">
        <v>8.61</v>
      </c>
      <c r="K502" s="19"/>
      <c r="N502" s="19"/>
    </row>
    <row r="503" spans="2:14" x14ac:dyDescent="0.25">
      <c r="B503" s="19">
        <v>42405</v>
      </c>
      <c r="C503">
        <v>38.905000000000001</v>
      </c>
      <c r="E503" s="19">
        <v>42405</v>
      </c>
      <c r="F503">
        <v>41.575000000000003</v>
      </c>
      <c r="H503" s="19">
        <v>42405</v>
      </c>
      <c r="I503">
        <v>8.6440000000000001</v>
      </c>
      <c r="K503" s="19"/>
      <c r="N503" s="19"/>
    </row>
    <row r="504" spans="2:14" x14ac:dyDescent="0.25">
      <c r="B504" s="19">
        <v>42408</v>
      </c>
      <c r="C504">
        <v>38.17</v>
      </c>
      <c r="E504" s="19">
        <v>42408</v>
      </c>
      <c r="F504">
        <v>39.299999999999997</v>
      </c>
      <c r="H504" s="19">
        <v>42408</v>
      </c>
      <c r="I504">
        <v>8.2119999999999997</v>
      </c>
      <c r="K504" s="19"/>
      <c r="N504" s="19"/>
    </row>
    <row r="505" spans="2:14" x14ac:dyDescent="0.25">
      <c r="B505" s="19">
        <v>42409</v>
      </c>
      <c r="C505">
        <v>36.805</v>
      </c>
      <c r="E505" s="19">
        <v>42409</v>
      </c>
      <c r="F505">
        <v>37.9</v>
      </c>
      <c r="H505" s="19">
        <v>42409</v>
      </c>
      <c r="I505">
        <v>7.8390000000000004</v>
      </c>
      <c r="K505" s="19"/>
      <c r="N505" s="19"/>
    </row>
    <row r="506" spans="2:14" x14ac:dyDescent="0.25">
      <c r="B506" s="19">
        <v>42410</v>
      </c>
      <c r="C506">
        <v>36.520000000000003</v>
      </c>
      <c r="E506" s="19">
        <v>42410</v>
      </c>
      <c r="F506">
        <v>39.755000000000003</v>
      </c>
      <c r="H506" s="19">
        <v>42410</v>
      </c>
      <c r="I506">
        <v>8.2089999999999996</v>
      </c>
      <c r="K506" s="19"/>
      <c r="N506" s="19"/>
    </row>
    <row r="507" spans="2:14" x14ac:dyDescent="0.25">
      <c r="B507" s="19">
        <v>42411</v>
      </c>
      <c r="C507">
        <v>35.325000000000003</v>
      </c>
      <c r="E507" s="19">
        <v>42411</v>
      </c>
      <c r="F507">
        <v>37.36</v>
      </c>
      <c r="H507" s="19">
        <v>42411</v>
      </c>
      <c r="I507">
        <v>7.6669999999999998</v>
      </c>
      <c r="K507" s="19"/>
      <c r="N507" s="19"/>
    </row>
    <row r="508" spans="2:14" x14ac:dyDescent="0.25">
      <c r="B508" s="19">
        <v>42412</v>
      </c>
      <c r="C508">
        <v>38</v>
      </c>
      <c r="E508" s="19">
        <v>42412</v>
      </c>
      <c r="F508">
        <v>39.57</v>
      </c>
      <c r="H508" s="19">
        <v>42412</v>
      </c>
      <c r="I508">
        <v>7.9930000000000003</v>
      </c>
      <c r="K508" s="19"/>
      <c r="N508" s="19"/>
    </row>
    <row r="509" spans="2:14" x14ac:dyDescent="0.25">
      <c r="B509" s="19">
        <v>42415</v>
      </c>
      <c r="C509">
        <v>38.625</v>
      </c>
      <c r="E509" s="19">
        <v>42415</v>
      </c>
      <c r="F509">
        <v>40.61</v>
      </c>
      <c r="H509" s="19">
        <v>42415</v>
      </c>
      <c r="I509">
        <v>8.3539999999999992</v>
      </c>
      <c r="K509" s="19"/>
      <c r="N509" s="19"/>
    </row>
    <row r="510" spans="2:14" x14ac:dyDescent="0.25">
      <c r="B510" s="19">
        <v>42416</v>
      </c>
      <c r="C510">
        <v>38.774999999999999</v>
      </c>
      <c r="E510" s="19">
        <v>42416</v>
      </c>
      <c r="F510">
        <v>40.299999999999997</v>
      </c>
      <c r="H510" s="19">
        <v>42416</v>
      </c>
      <c r="I510">
        <v>8.3840000000000003</v>
      </c>
      <c r="K510" s="19"/>
      <c r="N510" s="19"/>
    </row>
    <row r="511" spans="2:14" x14ac:dyDescent="0.25">
      <c r="B511" s="19">
        <v>42417</v>
      </c>
      <c r="C511">
        <v>39.344999999999999</v>
      </c>
      <c r="E511" s="19">
        <v>42417</v>
      </c>
      <c r="F511">
        <v>41.765000000000001</v>
      </c>
      <c r="H511" s="19">
        <v>42417</v>
      </c>
      <c r="I511">
        <v>9.5500000000000007</v>
      </c>
      <c r="K511" s="19"/>
      <c r="N511" s="19"/>
    </row>
    <row r="512" spans="2:14" x14ac:dyDescent="0.25">
      <c r="B512" s="19">
        <v>42418</v>
      </c>
      <c r="C512">
        <v>39.549999999999997</v>
      </c>
      <c r="E512" s="19">
        <v>42418</v>
      </c>
      <c r="F512">
        <v>40.96</v>
      </c>
      <c r="H512" s="19">
        <v>42418</v>
      </c>
      <c r="I512">
        <v>9.32</v>
      </c>
      <c r="K512" s="19"/>
      <c r="N512" s="19"/>
    </row>
    <row r="513" spans="2:14" x14ac:dyDescent="0.25">
      <c r="B513" s="19">
        <v>42419</v>
      </c>
      <c r="C513">
        <v>39.74</v>
      </c>
      <c r="E513" s="19">
        <v>42419</v>
      </c>
      <c r="F513">
        <v>40.51</v>
      </c>
      <c r="H513" s="19">
        <v>42419</v>
      </c>
      <c r="I513">
        <v>9.2010000000000005</v>
      </c>
      <c r="K513" s="19"/>
      <c r="N513" s="19"/>
    </row>
    <row r="514" spans="2:14" x14ac:dyDescent="0.25">
      <c r="B514" s="19">
        <v>42422</v>
      </c>
      <c r="C514">
        <v>40.83</v>
      </c>
      <c r="E514" s="19">
        <v>42422</v>
      </c>
      <c r="F514">
        <v>41.76</v>
      </c>
      <c r="H514" s="19">
        <v>42422</v>
      </c>
      <c r="I514">
        <v>9.3640000000000008</v>
      </c>
      <c r="K514" s="19"/>
      <c r="N514" s="19"/>
    </row>
    <row r="515" spans="2:14" x14ac:dyDescent="0.25">
      <c r="B515" s="19">
        <v>42423</v>
      </c>
      <c r="C515">
        <v>39.82</v>
      </c>
      <c r="E515" s="19">
        <v>42423</v>
      </c>
      <c r="F515">
        <v>40.68</v>
      </c>
      <c r="H515" s="19">
        <v>42423</v>
      </c>
      <c r="I515">
        <v>9.1959999999999997</v>
      </c>
      <c r="K515" s="19"/>
      <c r="N515" s="19"/>
    </row>
    <row r="516" spans="2:14" x14ac:dyDescent="0.25">
      <c r="B516" s="19">
        <v>42424</v>
      </c>
      <c r="C516">
        <v>39.134999999999998</v>
      </c>
      <c r="E516" s="19">
        <v>42424</v>
      </c>
      <c r="F516">
        <v>39.92</v>
      </c>
      <c r="H516" s="19">
        <v>42424</v>
      </c>
      <c r="I516">
        <v>8.9220000000000006</v>
      </c>
      <c r="K516" s="19"/>
      <c r="N516" s="19"/>
    </row>
    <row r="517" spans="2:14" x14ac:dyDescent="0.25">
      <c r="B517" s="19">
        <v>42425</v>
      </c>
      <c r="C517">
        <v>39.869999999999997</v>
      </c>
      <c r="E517" s="19">
        <v>42425</v>
      </c>
      <c r="F517">
        <v>41.505000000000003</v>
      </c>
      <c r="H517" s="19">
        <v>42425</v>
      </c>
      <c r="I517">
        <v>9.0879999999999992</v>
      </c>
      <c r="K517" s="19"/>
      <c r="N517" s="19"/>
    </row>
    <row r="518" spans="2:14" x14ac:dyDescent="0.25">
      <c r="B518" s="19">
        <v>42426</v>
      </c>
      <c r="C518">
        <v>40.835000000000001</v>
      </c>
      <c r="E518" s="19">
        <v>42426</v>
      </c>
      <c r="F518">
        <v>42.45</v>
      </c>
      <c r="H518" s="19">
        <v>42426</v>
      </c>
      <c r="I518">
        <v>9.4280000000000008</v>
      </c>
      <c r="K518" s="19"/>
      <c r="N518" s="19"/>
    </row>
    <row r="519" spans="2:14" x14ac:dyDescent="0.25">
      <c r="B519" s="19">
        <v>42429</v>
      </c>
      <c r="C519">
        <v>41.375</v>
      </c>
      <c r="E519" s="19">
        <v>42429</v>
      </c>
      <c r="F519">
        <v>43</v>
      </c>
      <c r="H519" s="19">
        <v>42429</v>
      </c>
      <c r="I519">
        <v>9.5860000000000003</v>
      </c>
      <c r="K519" s="19"/>
      <c r="N519" s="19"/>
    </row>
    <row r="520" spans="2:14" x14ac:dyDescent="0.25">
      <c r="B520" s="19">
        <v>42430</v>
      </c>
      <c r="C520">
        <v>41.55</v>
      </c>
      <c r="E520" s="19">
        <v>42430</v>
      </c>
      <c r="F520">
        <v>44.01</v>
      </c>
      <c r="H520" s="19">
        <v>42430</v>
      </c>
      <c r="I520">
        <v>9.6790000000000003</v>
      </c>
      <c r="K520" s="19"/>
      <c r="N520" s="19"/>
    </row>
    <row r="521" spans="2:14" x14ac:dyDescent="0.25">
      <c r="B521" s="19">
        <v>42431</v>
      </c>
      <c r="C521">
        <v>42.21</v>
      </c>
      <c r="E521" s="19">
        <v>42431</v>
      </c>
      <c r="F521">
        <v>45.48</v>
      </c>
      <c r="H521" s="19">
        <v>42431</v>
      </c>
      <c r="I521">
        <v>9.9390000000000001</v>
      </c>
      <c r="K521" s="19"/>
      <c r="N521" s="19"/>
    </row>
    <row r="522" spans="2:14" x14ac:dyDescent="0.25">
      <c r="B522" s="19">
        <v>42432</v>
      </c>
      <c r="C522">
        <v>42.2</v>
      </c>
      <c r="E522" s="19">
        <v>42432</v>
      </c>
      <c r="F522">
        <v>45.734999999999999</v>
      </c>
      <c r="H522" s="19">
        <v>42432</v>
      </c>
      <c r="I522">
        <v>9.9770000000000003</v>
      </c>
      <c r="K522" s="19"/>
      <c r="N522" s="19"/>
    </row>
    <row r="523" spans="2:14" x14ac:dyDescent="0.25">
      <c r="B523" s="19">
        <v>42433</v>
      </c>
      <c r="C523">
        <v>42.674999999999997</v>
      </c>
      <c r="E523" s="19">
        <v>42433</v>
      </c>
      <c r="F523">
        <v>46.484999999999999</v>
      </c>
      <c r="H523" s="19">
        <v>42433</v>
      </c>
      <c r="I523">
        <v>10.07</v>
      </c>
      <c r="K523" s="19"/>
      <c r="N523" s="19"/>
    </row>
    <row r="524" spans="2:14" x14ac:dyDescent="0.25">
      <c r="B524" s="19">
        <v>42436</v>
      </c>
      <c r="C524">
        <v>42.81</v>
      </c>
      <c r="E524" s="19">
        <v>42436</v>
      </c>
      <c r="F524">
        <v>45.63</v>
      </c>
      <c r="H524" s="19">
        <v>42436</v>
      </c>
      <c r="I524">
        <v>9.8620000000000001</v>
      </c>
      <c r="K524" s="19"/>
      <c r="N524" s="19"/>
    </row>
    <row r="525" spans="2:14" x14ac:dyDescent="0.25">
      <c r="B525" s="19">
        <v>42437</v>
      </c>
      <c r="C525">
        <v>42.04</v>
      </c>
      <c r="E525" s="19">
        <v>42437</v>
      </c>
      <c r="F525">
        <v>45.66</v>
      </c>
      <c r="H525" s="19">
        <v>42437</v>
      </c>
      <c r="I525">
        <v>9.8040000000000003</v>
      </c>
      <c r="K525" s="19"/>
      <c r="N525" s="19"/>
    </row>
    <row r="526" spans="2:14" x14ac:dyDescent="0.25">
      <c r="B526" s="19">
        <v>42438</v>
      </c>
      <c r="C526">
        <v>42.104999999999997</v>
      </c>
      <c r="E526" s="19">
        <v>42438</v>
      </c>
      <c r="F526">
        <v>45.71</v>
      </c>
      <c r="H526" s="19">
        <v>42438</v>
      </c>
      <c r="I526">
        <v>9.92</v>
      </c>
      <c r="K526" s="19"/>
      <c r="N526" s="19"/>
    </row>
    <row r="527" spans="2:14" x14ac:dyDescent="0.25">
      <c r="B527" s="19">
        <v>42439</v>
      </c>
      <c r="C527">
        <v>40.805</v>
      </c>
      <c r="E527" s="19">
        <v>42439</v>
      </c>
      <c r="F527">
        <v>46.15</v>
      </c>
      <c r="H527" s="19">
        <v>42439</v>
      </c>
      <c r="I527">
        <v>9.9039999999999999</v>
      </c>
      <c r="K527" s="19"/>
      <c r="N527" s="19"/>
    </row>
    <row r="528" spans="2:14" x14ac:dyDescent="0.25">
      <c r="B528" s="19">
        <v>42440</v>
      </c>
      <c r="C528">
        <v>42.35</v>
      </c>
      <c r="E528" s="19">
        <v>42440</v>
      </c>
      <c r="F528">
        <v>48.7</v>
      </c>
      <c r="H528" s="19">
        <v>42440</v>
      </c>
      <c r="I528">
        <v>10.67</v>
      </c>
      <c r="K528" s="19"/>
      <c r="N528" s="19"/>
    </row>
    <row r="529" spans="2:14" x14ac:dyDescent="0.25">
      <c r="B529" s="19">
        <v>42443</v>
      </c>
      <c r="C529">
        <v>42.08</v>
      </c>
      <c r="E529" s="19">
        <v>42443</v>
      </c>
      <c r="F529">
        <v>47.75</v>
      </c>
      <c r="H529" s="19">
        <v>42443</v>
      </c>
      <c r="I529">
        <v>10.6</v>
      </c>
      <c r="K529" s="19"/>
      <c r="N529" s="19"/>
    </row>
    <row r="530" spans="2:14" x14ac:dyDescent="0.25">
      <c r="B530" s="19">
        <v>42444</v>
      </c>
      <c r="C530">
        <v>41.494999999999997</v>
      </c>
      <c r="E530" s="19">
        <v>42444</v>
      </c>
      <c r="F530">
        <v>47.015000000000001</v>
      </c>
      <c r="H530" s="19">
        <v>42444</v>
      </c>
      <c r="I530">
        <v>10.33</v>
      </c>
      <c r="K530" s="19"/>
      <c r="N530" s="19"/>
    </row>
    <row r="531" spans="2:14" x14ac:dyDescent="0.25">
      <c r="B531" s="19">
        <v>42445</v>
      </c>
      <c r="C531">
        <v>41.875</v>
      </c>
      <c r="E531" s="19">
        <v>42445</v>
      </c>
      <c r="F531">
        <v>46.05</v>
      </c>
      <c r="H531" s="19">
        <v>42445</v>
      </c>
      <c r="I531">
        <v>10.234999999999999</v>
      </c>
      <c r="K531" s="19"/>
      <c r="N531" s="19"/>
    </row>
    <row r="532" spans="2:14" x14ac:dyDescent="0.25">
      <c r="B532" s="19">
        <v>42446</v>
      </c>
      <c r="C532">
        <v>42.854999999999997</v>
      </c>
      <c r="E532" s="19">
        <v>42446</v>
      </c>
      <c r="F532">
        <v>44.99</v>
      </c>
      <c r="H532" s="19">
        <v>42446</v>
      </c>
      <c r="I532">
        <v>10.18</v>
      </c>
      <c r="K532" s="19"/>
      <c r="N532" s="19"/>
    </row>
    <row r="533" spans="2:14" x14ac:dyDescent="0.25">
      <c r="B533" s="19">
        <v>42447</v>
      </c>
      <c r="C533">
        <v>42.89</v>
      </c>
      <c r="E533" s="19">
        <v>42447</v>
      </c>
      <c r="F533">
        <v>45.62</v>
      </c>
      <c r="H533" s="19">
        <v>42447</v>
      </c>
      <c r="I533">
        <v>10.195</v>
      </c>
      <c r="K533" s="19"/>
      <c r="N533" s="19"/>
    </row>
    <row r="534" spans="2:14" x14ac:dyDescent="0.25">
      <c r="B534" s="19">
        <v>42450</v>
      </c>
      <c r="C534">
        <v>41.33</v>
      </c>
      <c r="E534" s="19">
        <v>42450</v>
      </c>
      <c r="F534">
        <v>45.195</v>
      </c>
      <c r="H534" s="19">
        <v>42450</v>
      </c>
      <c r="I534">
        <v>10.11</v>
      </c>
      <c r="K534" s="19"/>
      <c r="N534" s="19"/>
    </row>
    <row r="535" spans="2:14" x14ac:dyDescent="0.25">
      <c r="B535" s="19">
        <v>42451</v>
      </c>
      <c r="C535">
        <v>41.38</v>
      </c>
      <c r="E535" s="19">
        <v>42451</v>
      </c>
      <c r="F535">
        <v>45.115000000000002</v>
      </c>
      <c r="H535" s="19">
        <v>42451</v>
      </c>
      <c r="I535">
        <v>10.07</v>
      </c>
      <c r="K535" s="19"/>
      <c r="N535" s="19"/>
    </row>
    <row r="536" spans="2:14" x14ac:dyDescent="0.25">
      <c r="B536" s="19">
        <v>42452</v>
      </c>
      <c r="C536">
        <v>40.854999999999997</v>
      </c>
      <c r="E536" s="19">
        <v>42452</v>
      </c>
      <c r="F536">
        <v>44.384999999999998</v>
      </c>
      <c r="H536" s="19">
        <v>42452</v>
      </c>
      <c r="I536">
        <v>9.89</v>
      </c>
      <c r="K536" s="19"/>
      <c r="N536" s="19"/>
    </row>
    <row r="537" spans="2:14" x14ac:dyDescent="0.25">
      <c r="B537" s="19">
        <v>42453</v>
      </c>
      <c r="C537">
        <v>40.159999999999997</v>
      </c>
      <c r="E537" s="19">
        <v>42453</v>
      </c>
      <c r="F537">
        <v>43.42</v>
      </c>
      <c r="H537" s="19">
        <v>42453</v>
      </c>
      <c r="I537">
        <v>9.6720000000000006</v>
      </c>
      <c r="K537" s="19"/>
      <c r="N537" s="19"/>
    </row>
    <row r="538" spans="2:14" x14ac:dyDescent="0.25">
      <c r="B538" s="19">
        <v>42458</v>
      </c>
      <c r="C538">
        <v>40.045000000000002</v>
      </c>
      <c r="E538" s="19">
        <v>42458</v>
      </c>
      <c r="F538">
        <v>43.71</v>
      </c>
      <c r="H538" s="19">
        <v>42458</v>
      </c>
      <c r="I538">
        <v>9.5549999999999997</v>
      </c>
      <c r="K538" s="19"/>
      <c r="N538" s="19"/>
    </row>
    <row r="539" spans="2:14" x14ac:dyDescent="0.25">
      <c r="B539" s="19">
        <v>42459</v>
      </c>
      <c r="C539">
        <v>40.98</v>
      </c>
      <c r="E539" s="19">
        <v>42459</v>
      </c>
      <c r="F539">
        <v>44.45</v>
      </c>
      <c r="H539" s="19">
        <v>42459</v>
      </c>
      <c r="I539">
        <v>9.5749999999999993</v>
      </c>
      <c r="K539" s="19"/>
      <c r="N539" s="19"/>
    </row>
    <row r="540" spans="2:14" x14ac:dyDescent="0.25">
      <c r="B540" s="19">
        <v>42460</v>
      </c>
      <c r="C540">
        <v>40.06</v>
      </c>
      <c r="E540" s="19">
        <v>42460</v>
      </c>
      <c r="F540">
        <v>44.23</v>
      </c>
      <c r="H540" s="19">
        <v>42460</v>
      </c>
      <c r="I540">
        <v>9.5180000000000007</v>
      </c>
      <c r="K540" s="19"/>
      <c r="N540" s="19"/>
    </row>
    <row r="541" spans="2:14" x14ac:dyDescent="0.25">
      <c r="B541" s="19">
        <v>42461</v>
      </c>
      <c r="C541">
        <v>38.784999999999997</v>
      </c>
      <c r="E541" s="19">
        <v>42461</v>
      </c>
      <c r="F541">
        <v>44.005000000000003</v>
      </c>
      <c r="H541" s="19">
        <v>42461</v>
      </c>
      <c r="I541">
        <v>9.4489999999999998</v>
      </c>
      <c r="K541" s="19"/>
      <c r="N541" s="19"/>
    </row>
    <row r="542" spans="2:14" x14ac:dyDescent="0.25">
      <c r="B542" s="19">
        <v>42464</v>
      </c>
      <c r="C542">
        <v>39.174999999999997</v>
      </c>
      <c r="E542" s="19">
        <v>42464</v>
      </c>
      <c r="F542">
        <v>43.86</v>
      </c>
      <c r="H542" s="19">
        <v>42464</v>
      </c>
      <c r="I542">
        <v>9.4290000000000003</v>
      </c>
      <c r="K542" s="19"/>
      <c r="N542" s="19"/>
    </row>
    <row r="543" spans="2:14" x14ac:dyDescent="0.25">
      <c r="B543" s="19">
        <v>42465</v>
      </c>
      <c r="C543">
        <v>38.344999999999999</v>
      </c>
      <c r="E543" s="19">
        <v>42465</v>
      </c>
      <c r="F543">
        <v>42.95</v>
      </c>
      <c r="H543" s="19">
        <v>42465</v>
      </c>
      <c r="I543">
        <v>9.0719999999999992</v>
      </c>
      <c r="K543" s="19"/>
      <c r="N543" s="19"/>
    </row>
    <row r="544" spans="2:14" x14ac:dyDescent="0.25">
      <c r="B544" s="19">
        <v>42466</v>
      </c>
      <c r="C544">
        <v>38.880000000000003</v>
      </c>
      <c r="E544" s="19">
        <v>42466</v>
      </c>
      <c r="F544">
        <v>43</v>
      </c>
      <c r="H544" s="19">
        <v>42466</v>
      </c>
      <c r="I544">
        <v>9.1029999999999998</v>
      </c>
      <c r="K544" s="19"/>
      <c r="N544" s="19"/>
    </row>
    <row r="545" spans="2:14" x14ac:dyDescent="0.25">
      <c r="B545" s="19">
        <v>42467</v>
      </c>
      <c r="C545">
        <v>38.58</v>
      </c>
      <c r="E545" s="19">
        <v>42467</v>
      </c>
      <c r="F545">
        <v>41.35</v>
      </c>
      <c r="H545" s="19">
        <v>42467</v>
      </c>
      <c r="I545">
        <v>8.8949999999999996</v>
      </c>
      <c r="K545" s="19"/>
      <c r="N545" s="19"/>
    </row>
    <row r="546" spans="2:14" x14ac:dyDescent="0.25">
      <c r="B546" s="19">
        <v>42468</v>
      </c>
      <c r="C546">
        <v>40.01</v>
      </c>
      <c r="E546" s="19">
        <v>42468</v>
      </c>
      <c r="F546">
        <v>41.935000000000002</v>
      </c>
      <c r="H546" s="19">
        <v>42468</v>
      </c>
      <c r="I546">
        <v>9.1010000000000009</v>
      </c>
      <c r="K546" s="19"/>
      <c r="N546" s="19"/>
    </row>
    <row r="547" spans="2:14" x14ac:dyDescent="0.25">
      <c r="B547" s="19">
        <v>42471</v>
      </c>
      <c r="C547">
        <v>40.19</v>
      </c>
      <c r="E547" s="19">
        <v>42471</v>
      </c>
      <c r="F547">
        <v>42.314999999999998</v>
      </c>
      <c r="H547" s="19">
        <v>42471</v>
      </c>
      <c r="I547">
        <v>9.1910000000000007</v>
      </c>
      <c r="K547" s="19"/>
      <c r="N547" s="19"/>
    </row>
    <row r="548" spans="2:14" x14ac:dyDescent="0.25">
      <c r="B548" s="19">
        <v>42472</v>
      </c>
      <c r="C548">
        <v>40.93</v>
      </c>
      <c r="E548" s="19">
        <v>42472</v>
      </c>
      <c r="F548">
        <v>42.56</v>
      </c>
      <c r="H548" s="19">
        <v>42472</v>
      </c>
      <c r="I548">
        <v>9.2370000000000001</v>
      </c>
      <c r="K548" s="19"/>
      <c r="N548" s="19"/>
    </row>
    <row r="549" spans="2:14" x14ac:dyDescent="0.25">
      <c r="B549" s="19">
        <v>42473</v>
      </c>
      <c r="C549">
        <v>42.564999999999998</v>
      </c>
      <c r="E549" s="19">
        <v>42473</v>
      </c>
      <c r="F549">
        <v>45.265000000000001</v>
      </c>
      <c r="H549" s="19">
        <v>42473</v>
      </c>
      <c r="I549">
        <v>9.7420000000000009</v>
      </c>
      <c r="K549" s="19"/>
      <c r="N549" s="19"/>
    </row>
    <row r="550" spans="2:14" x14ac:dyDescent="0.25">
      <c r="B550" s="19">
        <v>42474</v>
      </c>
      <c r="C550">
        <v>42.814999999999998</v>
      </c>
      <c r="E550" s="19">
        <v>42474</v>
      </c>
      <c r="F550">
        <v>45.66</v>
      </c>
      <c r="H550" s="19">
        <v>42474</v>
      </c>
      <c r="I550">
        <v>9.8260000000000005</v>
      </c>
      <c r="K550" s="19"/>
      <c r="N550" s="19"/>
    </row>
    <row r="551" spans="2:14" x14ac:dyDescent="0.25">
      <c r="B551" s="19">
        <v>42475</v>
      </c>
      <c r="C551">
        <v>42.545000000000002</v>
      </c>
      <c r="E551" s="19">
        <v>42475</v>
      </c>
      <c r="F551">
        <v>45.16</v>
      </c>
      <c r="H551" s="19">
        <v>42475</v>
      </c>
      <c r="I551">
        <v>9.7129999999999992</v>
      </c>
      <c r="K551" s="19"/>
      <c r="N551" s="19"/>
    </row>
    <row r="552" spans="2:14" x14ac:dyDescent="0.25">
      <c r="B552" s="19">
        <v>42478</v>
      </c>
      <c r="C552">
        <v>42.244999999999997</v>
      </c>
      <c r="E552" s="19">
        <v>42478</v>
      </c>
      <c r="F552">
        <v>45.73</v>
      </c>
      <c r="H552" s="19">
        <v>42478</v>
      </c>
      <c r="I552">
        <v>9.7309999999999999</v>
      </c>
      <c r="K552" s="19"/>
      <c r="N552" s="19"/>
    </row>
    <row r="553" spans="2:14" x14ac:dyDescent="0.25">
      <c r="B553" s="19">
        <v>42479</v>
      </c>
      <c r="C553">
        <v>42.884999999999998</v>
      </c>
      <c r="E553" s="19">
        <v>42479</v>
      </c>
      <c r="F553">
        <v>45.63</v>
      </c>
      <c r="H553" s="19">
        <v>42479</v>
      </c>
      <c r="I553">
        <v>9.7490000000000006</v>
      </c>
      <c r="K553" s="19"/>
      <c r="N553" s="19"/>
    </row>
    <row r="554" spans="2:14" x14ac:dyDescent="0.25">
      <c r="B554" s="19">
        <v>42480</v>
      </c>
      <c r="C554">
        <v>43.344999999999999</v>
      </c>
      <c r="E554" s="19">
        <v>42480</v>
      </c>
      <c r="F554">
        <v>46.814999999999998</v>
      </c>
      <c r="H554" s="19">
        <v>42480</v>
      </c>
      <c r="I554">
        <v>9.9629999999999992</v>
      </c>
      <c r="K554" s="19"/>
      <c r="N554" s="19"/>
    </row>
    <row r="555" spans="2:14" x14ac:dyDescent="0.25">
      <c r="B555" s="19">
        <v>42481</v>
      </c>
      <c r="C555">
        <v>43.65</v>
      </c>
      <c r="E555" s="19">
        <v>42481</v>
      </c>
      <c r="F555">
        <v>47.64</v>
      </c>
      <c r="H555" s="19">
        <v>42481</v>
      </c>
      <c r="I555">
        <v>10.015000000000001</v>
      </c>
      <c r="K555" s="19"/>
      <c r="N555" s="19"/>
    </row>
    <row r="556" spans="2:14" x14ac:dyDescent="0.25">
      <c r="B556" s="19">
        <v>42482</v>
      </c>
      <c r="C556">
        <v>43.825000000000003</v>
      </c>
      <c r="E556" s="19">
        <v>42482</v>
      </c>
      <c r="F556">
        <v>47.79</v>
      </c>
      <c r="H556" s="19">
        <v>42482</v>
      </c>
      <c r="I556">
        <v>10.09</v>
      </c>
      <c r="K556" s="19"/>
      <c r="N556" s="19"/>
    </row>
    <row r="557" spans="2:14" x14ac:dyDescent="0.25">
      <c r="B557" s="19">
        <v>42485</v>
      </c>
      <c r="C557">
        <v>43.62</v>
      </c>
      <c r="E557" s="19">
        <v>42485</v>
      </c>
      <c r="F557">
        <v>46.645000000000003</v>
      </c>
      <c r="H557" s="19">
        <v>42485</v>
      </c>
      <c r="I557">
        <v>9.8610000000000007</v>
      </c>
      <c r="K557" s="19"/>
      <c r="N557" s="19"/>
    </row>
    <row r="558" spans="2:14" x14ac:dyDescent="0.25">
      <c r="B558" s="19">
        <v>42486</v>
      </c>
      <c r="C558">
        <v>43.734999999999999</v>
      </c>
      <c r="E558" s="19">
        <v>42486</v>
      </c>
      <c r="F558">
        <v>47.48</v>
      </c>
      <c r="H558" s="19">
        <v>42486</v>
      </c>
      <c r="I558">
        <v>10.045</v>
      </c>
      <c r="K558" s="19"/>
      <c r="N558" s="19"/>
    </row>
    <row r="559" spans="2:14" x14ac:dyDescent="0.25">
      <c r="B559" s="19">
        <v>42487</v>
      </c>
      <c r="C559">
        <v>44.965000000000003</v>
      </c>
      <c r="E559" s="19">
        <v>42487</v>
      </c>
      <c r="F559">
        <v>47.88</v>
      </c>
      <c r="H559" s="19">
        <v>42487</v>
      </c>
      <c r="I559">
        <v>9.9280000000000008</v>
      </c>
      <c r="K559" s="19"/>
      <c r="N559" s="19"/>
    </row>
    <row r="560" spans="2:14" x14ac:dyDescent="0.25">
      <c r="B560" s="19">
        <v>42488</v>
      </c>
      <c r="C560">
        <v>45.12</v>
      </c>
      <c r="E560" s="19">
        <v>42488</v>
      </c>
      <c r="F560">
        <v>48.244999999999997</v>
      </c>
      <c r="H560" s="19">
        <v>42488</v>
      </c>
      <c r="I560">
        <v>10</v>
      </c>
      <c r="K560" s="19"/>
      <c r="N560" s="19"/>
    </row>
    <row r="561" spans="2:14" x14ac:dyDescent="0.25">
      <c r="B561" s="19">
        <v>42489</v>
      </c>
      <c r="C561">
        <v>43.93</v>
      </c>
      <c r="E561" s="19">
        <v>42489</v>
      </c>
      <c r="F561">
        <v>46.24</v>
      </c>
      <c r="H561" s="19">
        <v>42489</v>
      </c>
      <c r="I561">
        <v>9.6590000000000007</v>
      </c>
      <c r="K561" s="19"/>
      <c r="N561" s="19"/>
    </row>
    <row r="562" spans="2:14" x14ac:dyDescent="0.25">
      <c r="B562" s="19">
        <v>42492</v>
      </c>
      <c r="C562">
        <v>43.93</v>
      </c>
      <c r="E562" s="19">
        <v>42492</v>
      </c>
      <c r="F562">
        <v>45.965000000000003</v>
      </c>
      <c r="H562" s="19">
        <v>42492</v>
      </c>
      <c r="I562">
        <v>9.5969999999999995</v>
      </c>
      <c r="K562" s="19"/>
      <c r="N562" s="19"/>
    </row>
    <row r="563" spans="2:14" x14ac:dyDescent="0.25">
      <c r="B563" s="19">
        <v>42493</v>
      </c>
      <c r="C563">
        <v>42.725000000000001</v>
      </c>
      <c r="E563" s="19">
        <v>42493</v>
      </c>
      <c r="F563">
        <v>45.5</v>
      </c>
      <c r="H563" s="19">
        <v>42493</v>
      </c>
      <c r="I563">
        <v>9.1809999999999992</v>
      </c>
      <c r="K563" s="19"/>
      <c r="N563" s="19"/>
    </row>
    <row r="564" spans="2:14" x14ac:dyDescent="0.25">
      <c r="B564" s="19">
        <v>42494</v>
      </c>
      <c r="C564">
        <v>42.15</v>
      </c>
      <c r="E564" s="19">
        <v>42494</v>
      </c>
      <c r="F564">
        <v>45.31</v>
      </c>
      <c r="H564" s="19">
        <v>42494</v>
      </c>
      <c r="I564">
        <v>9.173</v>
      </c>
      <c r="K564" s="19"/>
      <c r="N564" s="19"/>
    </row>
    <row r="565" spans="2:14" x14ac:dyDescent="0.25">
      <c r="B565" s="19">
        <v>42495</v>
      </c>
      <c r="C565">
        <v>42.545000000000002</v>
      </c>
      <c r="E565" s="19">
        <v>42495</v>
      </c>
      <c r="F565">
        <v>44.71</v>
      </c>
      <c r="H565" s="19">
        <v>42495</v>
      </c>
      <c r="I565">
        <v>8.9700000000000006</v>
      </c>
      <c r="K565" s="19"/>
      <c r="N565" s="19"/>
    </row>
    <row r="566" spans="2:14" x14ac:dyDescent="0.25">
      <c r="B566" s="19">
        <v>42496</v>
      </c>
      <c r="C566">
        <v>42.94</v>
      </c>
      <c r="E566" s="19">
        <v>42496</v>
      </c>
      <c r="F566">
        <v>44.265000000000001</v>
      </c>
      <c r="H566" s="19">
        <v>42496</v>
      </c>
      <c r="I566">
        <v>9.0299999999999994</v>
      </c>
      <c r="K566" s="19"/>
      <c r="N566" s="19"/>
    </row>
    <row r="567" spans="2:14" x14ac:dyDescent="0.25">
      <c r="B567" s="19">
        <v>42499</v>
      </c>
      <c r="C567">
        <v>42.08</v>
      </c>
      <c r="E567" s="19">
        <v>42499</v>
      </c>
      <c r="F567">
        <v>44.15</v>
      </c>
      <c r="H567" s="19">
        <v>42499</v>
      </c>
      <c r="I567">
        <v>9.0129999999999999</v>
      </c>
      <c r="K567" s="19"/>
      <c r="N567" s="19"/>
    </row>
    <row r="568" spans="2:14" x14ac:dyDescent="0.25">
      <c r="B568" s="19">
        <v>42500</v>
      </c>
      <c r="C568">
        <v>42.664999999999999</v>
      </c>
      <c r="E568" s="19">
        <v>42500</v>
      </c>
      <c r="F568">
        <v>44.575000000000003</v>
      </c>
      <c r="H568" s="19">
        <v>42500</v>
      </c>
      <c r="I568">
        <v>9.1199999999999992</v>
      </c>
      <c r="K568" s="19"/>
      <c r="N568" s="19"/>
    </row>
    <row r="569" spans="2:14" x14ac:dyDescent="0.25">
      <c r="B569" s="19">
        <v>42501</v>
      </c>
      <c r="C569">
        <v>42.884999999999998</v>
      </c>
      <c r="E569" s="19">
        <v>42501</v>
      </c>
      <c r="F569">
        <v>44.13</v>
      </c>
      <c r="H569" s="19">
        <v>42501</v>
      </c>
      <c r="I569">
        <v>9.1010000000000009</v>
      </c>
      <c r="K569" s="19"/>
      <c r="N569" s="19"/>
    </row>
    <row r="570" spans="2:14" x14ac:dyDescent="0.25">
      <c r="B570" s="19">
        <v>42502</v>
      </c>
      <c r="C570">
        <v>42.765000000000001</v>
      </c>
      <c r="E570" s="19">
        <v>42502</v>
      </c>
      <c r="F570">
        <v>43.454999999999998</v>
      </c>
      <c r="H570" s="19">
        <v>42502</v>
      </c>
      <c r="I570">
        <v>8.6539999999999999</v>
      </c>
      <c r="K570" s="19"/>
      <c r="N570" s="19"/>
    </row>
    <row r="571" spans="2:14" x14ac:dyDescent="0.25">
      <c r="B571" s="19">
        <v>42503</v>
      </c>
      <c r="C571">
        <v>42.82</v>
      </c>
      <c r="E571" s="19">
        <v>42503</v>
      </c>
      <c r="F571">
        <v>44.02</v>
      </c>
      <c r="H571" s="19">
        <v>42503</v>
      </c>
      <c r="I571">
        <v>8.6449999999999996</v>
      </c>
      <c r="K571" s="19"/>
      <c r="N571" s="19"/>
    </row>
    <row r="572" spans="2:14" x14ac:dyDescent="0.25">
      <c r="B572" s="19">
        <v>42506</v>
      </c>
      <c r="C572">
        <v>43.15</v>
      </c>
      <c r="E572" s="19">
        <v>42506</v>
      </c>
      <c r="F572">
        <v>43.9</v>
      </c>
      <c r="H572" s="19">
        <v>42506</v>
      </c>
      <c r="I572">
        <v>8.6039999999999992</v>
      </c>
      <c r="K572" s="19"/>
      <c r="N572" s="19"/>
    </row>
    <row r="573" spans="2:14" x14ac:dyDescent="0.25">
      <c r="B573" s="19">
        <v>42507</v>
      </c>
      <c r="C573">
        <v>43.07</v>
      </c>
      <c r="E573" s="19">
        <v>42507</v>
      </c>
      <c r="F573">
        <v>44.325000000000003</v>
      </c>
      <c r="H573" s="19">
        <v>42507</v>
      </c>
      <c r="I573">
        <v>8.6359999999999992</v>
      </c>
      <c r="K573" s="19"/>
      <c r="N573" s="19"/>
    </row>
    <row r="574" spans="2:14" x14ac:dyDescent="0.25">
      <c r="B574" s="19">
        <v>42508</v>
      </c>
      <c r="C574">
        <v>43.16</v>
      </c>
      <c r="E574" s="19">
        <v>42508</v>
      </c>
      <c r="F574">
        <v>44.98</v>
      </c>
      <c r="H574" s="19">
        <v>42508</v>
      </c>
      <c r="I574">
        <v>8.7750000000000004</v>
      </c>
      <c r="K574" s="19"/>
      <c r="N574" s="19"/>
    </row>
    <row r="575" spans="2:14" x14ac:dyDescent="0.25">
      <c r="B575" s="19">
        <v>42509</v>
      </c>
      <c r="C575">
        <v>42.13</v>
      </c>
      <c r="E575" s="19">
        <v>42509</v>
      </c>
      <c r="F575">
        <v>45.305</v>
      </c>
      <c r="H575" s="19">
        <v>42509</v>
      </c>
      <c r="I575">
        <v>8.7430000000000003</v>
      </c>
      <c r="K575" s="19"/>
      <c r="N575" s="19"/>
    </row>
    <row r="576" spans="2:14" x14ac:dyDescent="0.25">
      <c r="B576" s="19">
        <v>42510</v>
      </c>
      <c r="C576">
        <v>43.005000000000003</v>
      </c>
      <c r="E576" s="19">
        <v>42510</v>
      </c>
      <c r="F576">
        <v>45.715000000000003</v>
      </c>
      <c r="H576" s="19">
        <v>42510</v>
      </c>
      <c r="I576">
        <v>8.843</v>
      </c>
      <c r="K576" s="19"/>
      <c r="N576" s="19"/>
    </row>
    <row r="577" spans="2:14" x14ac:dyDescent="0.25">
      <c r="B577" s="19">
        <v>42513</v>
      </c>
      <c r="C577">
        <v>42.39</v>
      </c>
      <c r="E577" s="19">
        <v>42513</v>
      </c>
      <c r="F577">
        <v>45.93</v>
      </c>
      <c r="H577" s="19">
        <v>42513</v>
      </c>
      <c r="I577">
        <v>8.7940000000000005</v>
      </c>
      <c r="K577" s="19"/>
      <c r="N577" s="19"/>
    </row>
    <row r="578" spans="2:14" x14ac:dyDescent="0.25">
      <c r="B578" s="19">
        <v>42514</v>
      </c>
      <c r="C578">
        <v>43.115000000000002</v>
      </c>
      <c r="E578" s="19">
        <v>42514</v>
      </c>
      <c r="F578">
        <v>47.63</v>
      </c>
      <c r="H578" s="19">
        <v>42514</v>
      </c>
      <c r="I578">
        <v>9.0920000000000005</v>
      </c>
      <c r="K578" s="19"/>
      <c r="N578" s="19"/>
    </row>
    <row r="579" spans="2:14" x14ac:dyDescent="0.25">
      <c r="B579" s="19">
        <v>42515</v>
      </c>
      <c r="C579">
        <v>44.07</v>
      </c>
      <c r="E579" s="19">
        <v>42515</v>
      </c>
      <c r="F579">
        <v>48.97</v>
      </c>
      <c r="H579" s="19">
        <v>42515</v>
      </c>
      <c r="I579">
        <v>9.5239999999999991</v>
      </c>
      <c r="K579" s="19"/>
      <c r="N579" s="19"/>
    </row>
    <row r="580" spans="2:14" x14ac:dyDescent="0.25">
      <c r="B580" s="19">
        <v>42516</v>
      </c>
      <c r="C580">
        <v>44.03</v>
      </c>
      <c r="E580" s="19">
        <v>42516</v>
      </c>
      <c r="F580">
        <v>50</v>
      </c>
      <c r="H580" s="19">
        <v>42516</v>
      </c>
      <c r="I580">
        <v>9.6349999999999998</v>
      </c>
      <c r="K580" s="19"/>
      <c r="N580" s="19"/>
    </row>
    <row r="581" spans="2:14" x14ac:dyDescent="0.25">
      <c r="B581" s="19">
        <v>42517</v>
      </c>
      <c r="C581">
        <v>43.9</v>
      </c>
      <c r="E581" s="19">
        <v>42517</v>
      </c>
      <c r="F581">
        <v>49.765000000000001</v>
      </c>
      <c r="H581" s="19">
        <v>42517</v>
      </c>
      <c r="I581">
        <v>9.0920000000000005</v>
      </c>
      <c r="K581" s="19"/>
      <c r="N581" s="19"/>
    </row>
    <row r="582" spans="2:14" x14ac:dyDescent="0.25">
      <c r="B582" s="19">
        <v>42520</v>
      </c>
      <c r="C582">
        <v>43.765000000000001</v>
      </c>
      <c r="E582" s="19">
        <v>42520</v>
      </c>
      <c r="F582">
        <v>50.28</v>
      </c>
      <c r="H582" s="19">
        <v>42520</v>
      </c>
      <c r="I582">
        <v>9.0969999999999995</v>
      </c>
      <c r="K582" s="19"/>
      <c r="N582" s="19"/>
    </row>
    <row r="583" spans="2:14" x14ac:dyDescent="0.25">
      <c r="B583" s="19">
        <v>42521</v>
      </c>
      <c r="C583">
        <v>43.674999999999997</v>
      </c>
      <c r="E583" s="19">
        <v>42521</v>
      </c>
      <c r="F583">
        <v>49.765000000000001</v>
      </c>
      <c r="H583" s="19">
        <v>42521</v>
      </c>
      <c r="I583">
        <v>9.0250000000000004</v>
      </c>
      <c r="K583" s="19"/>
      <c r="N583" s="19"/>
    </row>
    <row r="584" spans="2:14" x14ac:dyDescent="0.25">
      <c r="B584" s="19">
        <v>42522</v>
      </c>
      <c r="C584">
        <v>43.03</v>
      </c>
      <c r="E584" s="19">
        <v>42522</v>
      </c>
      <c r="F584">
        <v>48.86</v>
      </c>
      <c r="H584" s="19">
        <v>42522</v>
      </c>
      <c r="I584">
        <v>8.8369999999999997</v>
      </c>
      <c r="K584" s="19"/>
      <c r="N584" s="19"/>
    </row>
    <row r="585" spans="2:14" x14ac:dyDescent="0.25">
      <c r="B585" s="19">
        <v>42523</v>
      </c>
      <c r="C585">
        <v>42.34</v>
      </c>
      <c r="E585" s="19">
        <v>42523</v>
      </c>
      <c r="F585">
        <v>47.51</v>
      </c>
      <c r="H585" s="19">
        <v>42523</v>
      </c>
      <c r="I585">
        <v>8.875</v>
      </c>
      <c r="K585" s="19"/>
      <c r="N585" s="19"/>
    </row>
    <row r="586" spans="2:14" x14ac:dyDescent="0.25">
      <c r="B586" s="19">
        <v>42524</v>
      </c>
      <c r="C586">
        <v>42.295000000000002</v>
      </c>
      <c r="E586" s="19">
        <v>42524</v>
      </c>
      <c r="F586">
        <v>46.32</v>
      </c>
      <c r="H586" s="19">
        <v>42524</v>
      </c>
      <c r="I586">
        <v>8.6460000000000008</v>
      </c>
      <c r="K586" s="19"/>
      <c r="N586" s="19"/>
    </row>
    <row r="587" spans="2:14" x14ac:dyDescent="0.25">
      <c r="B587" s="19">
        <v>42527</v>
      </c>
      <c r="C587">
        <v>42.465000000000003</v>
      </c>
      <c r="E587" s="19">
        <v>42527</v>
      </c>
      <c r="F587">
        <v>46.384999999999998</v>
      </c>
      <c r="H587" s="19">
        <v>42527</v>
      </c>
      <c r="I587">
        <v>8.6720000000000006</v>
      </c>
      <c r="K587" s="19"/>
      <c r="N587" s="19"/>
    </row>
    <row r="588" spans="2:14" x14ac:dyDescent="0.25">
      <c r="B588" s="19">
        <v>42528</v>
      </c>
      <c r="C588">
        <v>43.765000000000001</v>
      </c>
      <c r="E588" s="19">
        <v>42528</v>
      </c>
      <c r="F588">
        <v>47.064999999999998</v>
      </c>
      <c r="H588" s="19">
        <v>42528</v>
      </c>
      <c r="I588">
        <v>8.8000000000000007</v>
      </c>
      <c r="K588" s="19"/>
      <c r="N588" s="19"/>
    </row>
    <row r="589" spans="2:14" x14ac:dyDescent="0.25">
      <c r="B589" s="19">
        <v>42529</v>
      </c>
      <c r="C589">
        <v>43.37</v>
      </c>
      <c r="E589" s="19">
        <v>42529</v>
      </c>
      <c r="F589">
        <v>46.405000000000001</v>
      </c>
      <c r="H589" s="19">
        <v>42529</v>
      </c>
      <c r="I589">
        <v>8.6509999999999998</v>
      </c>
      <c r="K589" s="19"/>
      <c r="N589" s="19"/>
    </row>
    <row r="590" spans="2:14" x14ac:dyDescent="0.25">
      <c r="B590" s="19">
        <v>42530</v>
      </c>
      <c r="C590">
        <v>42.844999999999999</v>
      </c>
      <c r="E590" s="19">
        <v>42530</v>
      </c>
      <c r="F590">
        <v>45.875</v>
      </c>
      <c r="H590" s="19">
        <v>42530</v>
      </c>
      <c r="I590">
        <v>8.4510000000000005</v>
      </c>
      <c r="K590" s="19"/>
      <c r="N590" s="19"/>
    </row>
    <row r="591" spans="2:14" x14ac:dyDescent="0.25">
      <c r="B591" s="19">
        <v>42531</v>
      </c>
      <c r="C591">
        <v>42.05</v>
      </c>
      <c r="E591" s="19">
        <v>42531</v>
      </c>
      <c r="F591">
        <v>44.295000000000002</v>
      </c>
      <c r="H591" s="19">
        <v>42531</v>
      </c>
      <c r="I591">
        <v>8.1940000000000008</v>
      </c>
      <c r="K591" s="19"/>
      <c r="N591" s="19"/>
    </row>
    <row r="592" spans="2:14" x14ac:dyDescent="0.25">
      <c r="B592" s="19">
        <v>42534</v>
      </c>
      <c r="C592">
        <v>41.48</v>
      </c>
      <c r="E592" s="19">
        <v>42534</v>
      </c>
      <c r="F592">
        <v>43.01</v>
      </c>
      <c r="H592" s="19">
        <v>42534</v>
      </c>
      <c r="I592">
        <v>7.92</v>
      </c>
      <c r="K592" s="19"/>
      <c r="N592" s="19"/>
    </row>
    <row r="593" spans="2:14" x14ac:dyDescent="0.25">
      <c r="B593" s="19">
        <v>42535</v>
      </c>
      <c r="C593">
        <v>40.055</v>
      </c>
      <c r="E593" s="19">
        <v>42535</v>
      </c>
      <c r="F593">
        <v>42.04</v>
      </c>
      <c r="H593" s="19">
        <v>42535</v>
      </c>
      <c r="I593">
        <v>7.7619999999999996</v>
      </c>
      <c r="K593" s="19"/>
      <c r="N593" s="19"/>
    </row>
    <row r="594" spans="2:14" x14ac:dyDescent="0.25">
      <c r="B594" s="19">
        <v>42536</v>
      </c>
      <c r="C594">
        <v>40.414999999999999</v>
      </c>
      <c r="E594" s="19">
        <v>42536</v>
      </c>
      <c r="F594">
        <v>42.414999999999999</v>
      </c>
      <c r="H594" s="19">
        <v>42536</v>
      </c>
      <c r="I594">
        <v>7.81</v>
      </c>
      <c r="K594" s="19"/>
      <c r="N594" s="19"/>
    </row>
    <row r="595" spans="2:14" x14ac:dyDescent="0.25">
      <c r="B595" s="19">
        <v>42537</v>
      </c>
      <c r="C595">
        <v>40.479999999999997</v>
      </c>
      <c r="E595" s="19">
        <v>42537</v>
      </c>
      <c r="F595">
        <v>41.85</v>
      </c>
      <c r="H595" s="19">
        <v>42537</v>
      </c>
      <c r="I595">
        <v>7.68</v>
      </c>
      <c r="K595" s="19"/>
      <c r="N595" s="19"/>
    </row>
    <row r="596" spans="2:14" x14ac:dyDescent="0.25">
      <c r="B596" s="19">
        <v>42538</v>
      </c>
      <c r="C596">
        <v>41.26</v>
      </c>
      <c r="E596" s="19">
        <v>42538</v>
      </c>
      <c r="F596">
        <v>43.45</v>
      </c>
      <c r="H596" s="19">
        <v>42538</v>
      </c>
      <c r="I596">
        <v>8.0470000000000006</v>
      </c>
      <c r="K596" s="19"/>
      <c r="N596" s="19"/>
    </row>
    <row r="597" spans="2:14" x14ac:dyDescent="0.25">
      <c r="B597" s="19">
        <v>42541</v>
      </c>
      <c r="C597">
        <v>42.72</v>
      </c>
      <c r="E597" s="19">
        <v>42541</v>
      </c>
      <c r="F597">
        <v>45.58</v>
      </c>
      <c r="H597" s="19">
        <v>42541</v>
      </c>
      <c r="I597">
        <v>8.3539999999999992</v>
      </c>
      <c r="K597" s="19"/>
      <c r="N597" s="19"/>
    </row>
    <row r="598" spans="2:14" x14ac:dyDescent="0.25">
      <c r="B598" s="19">
        <v>42542</v>
      </c>
      <c r="C598">
        <v>43.02</v>
      </c>
      <c r="E598" s="19">
        <v>42542</v>
      </c>
      <c r="F598">
        <v>46.07</v>
      </c>
      <c r="H598" s="19">
        <v>42542</v>
      </c>
      <c r="I598">
        <v>8.4710000000000001</v>
      </c>
      <c r="K598" s="19"/>
      <c r="N598" s="19"/>
    </row>
    <row r="599" spans="2:14" x14ac:dyDescent="0.25">
      <c r="B599" s="19">
        <v>42543</v>
      </c>
      <c r="C599">
        <v>43.03</v>
      </c>
      <c r="E599" s="19">
        <v>42543</v>
      </c>
      <c r="F599">
        <v>46.365000000000002</v>
      </c>
      <c r="H599" s="19">
        <v>42543</v>
      </c>
      <c r="I599">
        <v>8.5500000000000007</v>
      </c>
      <c r="K599" s="19"/>
      <c r="N599" s="19"/>
    </row>
    <row r="600" spans="2:14" x14ac:dyDescent="0.25">
      <c r="B600" s="19">
        <v>42544</v>
      </c>
      <c r="C600">
        <v>43.69</v>
      </c>
      <c r="E600" s="19">
        <v>42544</v>
      </c>
      <c r="F600">
        <v>47.7</v>
      </c>
      <c r="H600" s="19">
        <v>42544</v>
      </c>
      <c r="I600">
        <v>8.8970000000000002</v>
      </c>
      <c r="K600" s="19"/>
      <c r="N600" s="19"/>
    </row>
    <row r="601" spans="2:14" x14ac:dyDescent="0.25">
      <c r="B601" s="19">
        <v>42545</v>
      </c>
      <c r="C601">
        <v>40.619999999999997</v>
      </c>
      <c r="E601" s="19">
        <v>42545</v>
      </c>
      <c r="F601">
        <v>39.4</v>
      </c>
      <c r="H601" s="19">
        <v>42545</v>
      </c>
      <c r="I601">
        <v>7.6509999999999998</v>
      </c>
      <c r="K601" s="19"/>
      <c r="N601" s="19"/>
    </row>
    <row r="602" spans="2:14" x14ac:dyDescent="0.25">
      <c r="B602" s="19">
        <v>42548</v>
      </c>
      <c r="C602">
        <v>40.325000000000003</v>
      </c>
      <c r="E602" s="19">
        <v>42548</v>
      </c>
      <c r="F602">
        <v>36.909999999999997</v>
      </c>
      <c r="H602" s="19">
        <v>42548</v>
      </c>
      <c r="I602">
        <v>7.194</v>
      </c>
      <c r="K602" s="19"/>
      <c r="N602" s="19"/>
    </row>
    <row r="603" spans="2:14" x14ac:dyDescent="0.25">
      <c r="B603" s="19">
        <v>42549</v>
      </c>
      <c r="C603">
        <v>41.39</v>
      </c>
      <c r="E603" s="19">
        <v>42549</v>
      </c>
      <c r="F603">
        <v>38.35</v>
      </c>
      <c r="H603" s="19">
        <v>42549</v>
      </c>
      <c r="I603">
        <v>7.4960000000000004</v>
      </c>
      <c r="K603" s="19"/>
      <c r="N603" s="19"/>
    </row>
    <row r="604" spans="2:14" x14ac:dyDescent="0.25">
      <c r="B604" s="19">
        <v>42550</v>
      </c>
      <c r="C604">
        <v>42.95</v>
      </c>
      <c r="E604" s="19">
        <v>42550</v>
      </c>
      <c r="F604">
        <v>39.51</v>
      </c>
      <c r="H604" s="19">
        <v>42550</v>
      </c>
      <c r="I604">
        <v>7.5490000000000004</v>
      </c>
      <c r="K604" s="19"/>
      <c r="N604" s="19"/>
    </row>
    <row r="605" spans="2:14" x14ac:dyDescent="0.25">
      <c r="B605" s="19">
        <v>42551</v>
      </c>
      <c r="C605">
        <v>43.38</v>
      </c>
      <c r="E605" s="19">
        <v>42551</v>
      </c>
      <c r="F605">
        <v>39.755000000000003</v>
      </c>
      <c r="H605" s="19">
        <v>42551</v>
      </c>
      <c r="I605">
        <v>7.56</v>
      </c>
      <c r="K605" s="19"/>
      <c r="N605" s="19"/>
    </row>
    <row r="606" spans="2:14" x14ac:dyDescent="0.25">
      <c r="B606" s="19">
        <v>42552</v>
      </c>
      <c r="C606">
        <v>43.755000000000003</v>
      </c>
      <c r="E606" s="19">
        <v>42552</v>
      </c>
      <c r="F606">
        <v>39.909999999999997</v>
      </c>
      <c r="H606" s="19">
        <v>42552</v>
      </c>
      <c r="I606">
        <v>7.6470000000000002</v>
      </c>
      <c r="K606" s="19"/>
      <c r="N606" s="19"/>
    </row>
    <row r="607" spans="2:14" x14ac:dyDescent="0.25">
      <c r="B607" s="19">
        <v>42555</v>
      </c>
      <c r="C607">
        <v>43.38</v>
      </c>
      <c r="E607" s="19">
        <v>42555</v>
      </c>
      <c r="F607">
        <v>39.225000000000001</v>
      </c>
      <c r="H607" s="19">
        <v>42555</v>
      </c>
      <c r="I607">
        <v>7.516</v>
      </c>
      <c r="K607" s="19"/>
      <c r="N607" s="19"/>
    </row>
    <row r="608" spans="2:14" x14ac:dyDescent="0.25">
      <c r="B608" s="19">
        <v>42556</v>
      </c>
      <c r="C608">
        <v>42.685000000000002</v>
      </c>
      <c r="E608" s="19">
        <v>42556</v>
      </c>
      <c r="F608">
        <v>39.119999999999997</v>
      </c>
      <c r="H608" s="19">
        <v>42556</v>
      </c>
      <c r="I608">
        <v>7.2510000000000003</v>
      </c>
      <c r="K608" s="19"/>
      <c r="N608" s="19"/>
    </row>
    <row r="609" spans="2:14" x14ac:dyDescent="0.25">
      <c r="B609" s="19">
        <v>42557</v>
      </c>
      <c r="C609">
        <v>41.765000000000001</v>
      </c>
      <c r="E609" s="19">
        <v>42557</v>
      </c>
      <c r="F609">
        <v>38.36</v>
      </c>
      <c r="H609" s="19">
        <v>42557</v>
      </c>
      <c r="I609">
        <v>7.0949999999999998</v>
      </c>
      <c r="K609" s="19"/>
      <c r="N609" s="19"/>
    </row>
    <row r="610" spans="2:14" x14ac:dyDescent="0.25">
      <c r="B610" s="19">
        <v>42558</v>
      </c>
      <c r="C610">
        <v>42.05</v>
      </c>
      <c r="E610" s="19">
        <v>42558</v>
      </c>
      <c r="F610">
        <v>38.5</v>
      </c>
      <c r="H610" s="19">
        <v>42558</v>
      </c>
      <c r="I610">
        <v>7.14</v>
      </c>
      <c r="K610" s="19"/>
      <c r="N610" s="19"/>
    </row>
    <row r="611" spans="2:14" x14ac:dyDescent="0.25">
      <c r="B611" s="19">
        <v>42559</v>
      </c>
      <c r="C611">
        <v>42.65</v>
      </c>
      <c r="E611" s="19">
        <v>42559</v>
      </c>
      <c r="F611">
        <v>39.814999999999998</v>
      </c>
      <c r="H611" s="19">
        <v>42559</v>
      </c>
      <c r="I611">
        <v>7.5410000000000004</v>
      </c>
      <c r="K611" s="19"/>
      <c r="N611" s="19"/>
    </row>
    <row r="612" spans="2:14" x14ac:dyDescent="0.25">
      <c r="B612" s="19">
        <v>42562</v>
      </c>
      <c r="C612">
        <v>43.35</v>
      </c>
      <c r="E612" s="19">
        <v>42562</v>
      </c>
      <c r="F612">
        <v>40.265000000000001</v>
      </c>
      <c r="H612" s="19">
        <v>42562</v>
      </c>
      <c r="I612">
        <v>7.6180000000000003</v>
      </c>
      <c r="K612" s="19"/>
      <c r="N612" s="19"/>
    </row>
    <row r="613" spans="2:14" x14ac:dyDescent="0.25">
      <c r="B613" s="19">
        <v>42563</v>
      </c>
      <c r="C613">
        <v>43.935000000000002</v>
      </c>
      <c r="E613" s="19">
        <v>42563</v>
      </c>
      <c r="F613">
        <v>42.34</v>
      </c>
      <c r="H613" s="19">
        <v>42563</v>
      </c>
      <c r="I613">
        <v>7.9370000000000003</v>
      </c>
      <c r="K613" s="19"/>
      <c r="N613" s="19"/>
    </row>
    <row r="614" spans="2:14" x14ac:dyDescent="0.25">
      <c r="B614" s="19">
        <v>42564</v>
      </c>
      <c r="C614">
        <v>43.5</v>
      </c>
      <c r="E614" s="19">
        <v>42564</v>
      </c>
      <c r="F614">
        <v>41.5</v>
      </c>
      <c r="H614" s="19">
        <v>42564</v>
      </c>
      <c r="I614">
        <v>7.8140000000000001</v>
      </c>
      <c r="K614" s="19"/>
      <c r="N614" s="19"/>
    </row>
    <row r="615" spans="2:14" x14ac:dyDescent="0.25">
      <c r="B615" s="19">
        <v>42565</v>
      </c>
      <c r="C615">
        <v>44.2</v>
      </c>
      <c r="E615" s="19">
        <v>42565</v>
      </c>
      <c r="F615">
        <v>42.895000000000003</v>
      </c>
      <c r="H615" s="19">
        <v>42565</v>
      </c>
      <c r="I615">
        <v>7.9850000000000003</v>
      </c>
      <c r="K615" s="19"/>
      <c r="N615" s="19"/>
    </row>
    <row r="616" spans="2:14" x14ac:dyDescent="0.25">
      <c r="B616" s="19">
        <v>42566</v>
      </c>
      <c r="C616">
        <v>43.93</v>
      </c>
      <c r="E616" s="19">
        <v>42566</v>
      </c>
      <c r="F616">
        <v>42.78</v>
      </c>
      <c r="H616" s="19">
        <v>42566</v>
      </c>
      <c r="I616">
        <v>7.843</v>
      </c>
      <c r="K616" s="19"/>
      <c r="N616" s="19"/>
    </row>
    <row r="617" spans="2:14" x14ac:dyDescent="0.25">
      <c r="B617" s="19">
        <v>42569</v>
      </c>
      <c r="C617">
        <v>43.484999999999999</v>
      </c>
      <c r="E617" s="19">
        <v>42569</v>
      </c>
      <c r="F617">
        <v>42.454999999999998</v>
      </c>
      <c r="H617" s="19">
        <v>42569</v>
      </c>
      <c r="I617">
        <v>7.8630000000000004</v>
      </c>
      <c r="K617" s="19"/>
      <c r="N617" s="19"/>
    </row>
    <row r="618" spans="2:14" x14ac:dyDescent="0.25">
      <c r="B618" s="19">
        <v>42570</v>
      </c>
      <c r="C618">
        <v>43.54</v>
      </c>
      <c r="E618" s="19">
        <v>42570</v>
      </c>
      <c r="F618">
        <v>42.38</v>
      </c>
      <c r="H618" s="19">
        <v>42570</v>
      </c>
      <c r="I618">
        <v>7.8049999999999997</v>
      </c>
      <c r="K618" s="19"/>
      <c r="N618" s="19"/>
    </row>
    <row r="619" spans="2:14" x14ac:dyDescent="0.25">
      <c r="B619" s="19">
        <v>42571</v>
      </c>
      <c r="C619">
        <v>43.575000000000003</v>
      </c>
      <c r="E619" s="19">
        <v>42571</v>
      </c>
      <c r="F619">
        <v>42.774999999999999</v>
      </c>
      <c r="H619" s="19">
        <v>42571</v>
      </c>
      <c r="I619">
        <v>7.91</v>
      </c>
      <c r="K619" s="19"/>
      <c r="N619" s="19"/>
    </row>
    <row r="620" spans="2:14" x14ac:dyDescent="0.25">
      <c r="B620" s="19">
        <v>42572</v>
      </c>
      <c r="C620">
        <v>43.4</v>
      </c>
      <c r="E620" s="19">
        <v>42572</v>
      </c>
      <c r="F620">
        <v>43.02</v>
      </c>
      <c r="H620" s="19">
        <v>42572</v>
      </c>
      <c r="I620">
        <v>7.8730000000000002</v>
      </c>
      <c r="K620" s="19"/>
      <c r="N620" s="19"/>
    </row>
    <row r="621" spans="2:14" x14ac:dyDescent="0.25">
      <c r="B621" s="19">
        <v>42573</v>
      </c>
      <c r="C621">
        <v>43.085000000000001</v>
      </c>
      <c r="E621" s="19">
        <v>42573</v>
      </c>
      <c r="F621">
        <v>43.4</v>
      </c>
      <c r="H621" s="19">
        <v>42573</v>
      </c>
      <c r="I621">
        <v>7.9</v>
      </c>
      <c r="K621" s="19"/>
      <c r="N621" s="19"/>
    </row>
    <row r="622" spans="2:14" x14ac:dyDescent="0.25">
      <c r="B622" s="19">
        <v>42576</v>
      </c>
      <c r="C622">
        <v>42.25</v>
      </c>
      <c r="E622" s="19">
        <v>42576</v>
      </c>
      <c r="F622">
        <v>43.185000000000002</v>
      </c>
      <c r="H622" s="19">
        <v>42576</v>
      </c>
      <c r="I622">
        <v>7.8479999999999999</v>
      </c>
      <c r="K622" s="19"/>
      <c r="N622" s="19"/>
    </row>
    <row r="623" spans="2:14" x14ac:dyDescent="0.25">
      <c r="B623" s="19">
        <v>42577</v>
      </c>
      <c r="C623">
        <v>42.44</v>
      </c>
      <c r="E623" s="19">
        <v>42577</v>
      </c>
      <c r="F623">
        <v>42.89</v>
      </c>
      <c r="H623" s="19">
        <v>42577</v>
      </c>
      <c r="I623">
        <v>7.8029999999999999</v>
      </c>
      <c r="K623" s="19"/>
      <c r="N623" s="19"/>
    </row>
    <row r="624" spans="2:14" x14ac:dyDescent="0.25">
      <c r="B624" s="19">
        <v>42578</v>
      </c>
      <c r="C624">
        <v>42.685000000000002</v>
      </c>
      <c r="E624" s="19">
        <v>42578</v>
      </c>
      <c r="F624">
        <v>43.5</v>
      </c>
      <c r="H624" s="19">
        <v>42578</v>
      </c>
      <c r="I624">
        <v>7.915</v>
      </c>
      <c r="K624" s="19"/>
      <c r="N624" s="19"/>
    </row>
    <row r="625" spans="2:14" x14ac:dyDescent="0.25">
      <c r="B625" s="19">
        <v>42579</v>
      </c>
      <c r="C625">
        <v>42.484999999999999</v>
      </c>
      <c r="E625" s="19">
        <v>42579</v>
      </c>
      <c r="F625">
        <v>42.854999999999997</v>
      </c>
      <c r="H625" s="19">
        <v>42579</v>
      </c>
      <c r="I625">
        <v>7.7469999999999999</v>
      </c>
      <c r="K625" s="19"/>
      <c r="N625" s="19"/>
    </row>
    <row r="626" spans="2:14" x14ac:dyDescent="0.25">
      <c r="B626" s="19">
        <v>42580</v>
      </c>
      <c r="C626">
        <v>42.76</v>
      </c>
      <c r="E626" s="19">
        <v>42580</v>
      </c>
      <c r="F626">
        <v>44.354999999999997</v>
      </c>
      <c r="H626" s="19">
        <v>42580</v>
      </c>
      <c r="I626">
        <v>7.92</v>
      </c>
      <c r="K626" s="19"/>
      <c r="N626" s="19"/>
    </row>
    <row r="627" spans="2:14" x14ac:dyDescent="0.25">
      <c r="B627" s="19">
        <v>42583</v>
      </c>
      <c r="C627">
        <v>42.094999999999999</v>
      </c>
      <c r="E627" s="19">
        <v>42583</v>
      </c>
      <c r="F627">
        <v>43.695</v>
      </c>
      <c r="H627" s="19">
        <v>42583</v>
      </c>
      <c r="I627">
        <v>7.8070000000000004</v>
      </c>
      <c r="K627" s="19"/>
      <c r="N627" s="19"/>
    </row>
    <row r="628" spans="2:14" x14ac:dyDescent="0.25">
      <c r="B628" s="19">
        <v>42584</v>
      </c>
      <c r="C628">
        <v>41.465000000000003</v>
      </c>
      <c r="E628" s="19">
        <v>42584</v>
      </c>
      <c r="F628">
        <v>41.805</v>
      </c>
      <c r="H628" s="19">
        <v>42584</v>
      </c>
      <c r="I628">
        <v>7.5940000000000003</v>
      </c>
      <c r="K628" s="19"/>
      <c r="N628" s="19"/>
    </row>
    <row r="629" spans="2:14" x14ac:dyDescent="0.25">
      <c r="B629" s="19">
        <v>42585</v>
      </c>
      <c r="C629">
        <v>41.6</v>
      </c>
      <c r="E629" s="19">
        <v>42585</v>
      </c>
      <c r="F629">
        <v>42.034999999999997</v>
      </c>
      <c r="H629" s="19">
        <v>42585</v>
      </c>
      <c r="I629">
        <v>7.601</v>
      </c>
      <c r="K629" s="19"/>
      <c r="N629" s="19"/>
    </row>
    <row r="630" spans="2:14" x14ac:dyDescent="0.25">
      <c r="B630" s="19">
        <v>42586</v>
      </c>
      <c r="C630">
        <v>42.225000000000001</v>
      </c>
      <c r="E630" s="19">
        <v>42586</v>
      </c>
      <c r="F630">
        <v>42.56</v>
      </c>
      <c r="H630" s="19">
        <v>42586</v>
      </c>
      <c r="I630">
        <v>7.8</v>
      </c>
      <c r="K630" s="19"/>
      <c r="N630" s="19"/>
    </row>
    <row r="631" spans="2:14" x14ac:dyDescent="0.25">
      <c r="B631" s="19">
        <v>42587</v>
      </c>
      <c r="C631">
        <v>42.945</v>
      </c>
      <c r="E631" s="19">
        <v>42587</v>
      </c>
      <c r="F631">
        <v>43.844999999999999</v>
      </c>
      <c r="H631" s="19">
        <v>42587</v>
      </c>
      <c r="I631">
        <v>7.9669999999999996</v>
      </c>
      <c r="K631" s="19"/>
      <c r="N631" s="19"/>
    </row>
    <row r="632" spans="2:14" x14ac:dyDescent="0.25">
      <c r="B632" s="19">
        <v>42590</v>
      </c>
      <c r="C632">
        <v>42.994999999999997</v>
      </c>
      <c r="E632" s="19">
        <v>42590</v>
      </c>
      <c r="F632">
        <v>44.39</v>
      </c>
      <c r="H632" s="19">
        <v>42590</v>
      </c>
      <c r="I632">
        <v>8.1419999999999995</v>
      </c>
      <c r="K632" s="19"/>
      <c r="N632" s="19"/>
    </row>
    <row r="633" spans="2:14" x14ac:dyDescent="0.25">
      <c r="B633" s="19">
        <v>42591</v>
      </c>
      <c r="C633">
        <v>43.395000000000003</v>
      </c>
      <c r="E633" s="19">
        <v>42591</v>
      </c>
      <c r="F633">
        <v>44.814999999999998</v>
      </c>
      <c r="H633" s="19">
        <v>42591</v>
      </c>
      <c r="I633">
        <v>8.2129999999999992</v>
      </c>
      <c r="K633" s="19"/>
      <c r="N633" s="19"/>
    </row>
    <row r="634" spans="2:14" x14ac:dyDescent="0.25">
      <c r="B634" s="19">
        <v>42592</v>
      </c>
      <c r="C634">
        <v>43.05</v>
      </c>
      <c r="E634" s="19">
        <v>42592</v>
      </c>
      <c r="F634">
        <v>44.63</v>
      </c>
      <c r="H634" s="19">
        <v>42592</v>
      </c>
      <c r="I634">
        <v>8.2840000000000007</v>
      </c>
      <c r="K634" s="19"/>
      <c r="N634" s="19"/>
    </row>
    <row r="635" spans="2:14" x14ac:dyDescent="0.25">
      <c r="B635" s="19">
        <v>42593</v>
      </c>
      <c r="C635">
        <v>43.52</v>
      </c>
      <c r="E635" s="19">
        <v>42593</v>
      </c>
      <c r="F635">
        <v>45</v>
      </c>
      <c r="H635" s="19">
        <v>42593</v>
      </c>
      <c r="I635">
        <v>8.2940000000000005</v>
      </c>
      <c r="K635" s="19"/>
      <c r="N635" s="19"/>
    </row>
    <row r="636" spans="2:14" x14ac:dyDescent="0.25">
      <c r="B636" s="19">
        <v>42594</v>
      </c>
      <c r="C636">
        <v>43.35</v>
      </c>
      <c r="E636" s="19">
        <v>42594</v>
      </c>
      <c r="F636">
        <v>44.674999999999997</v>
      </c>
      <c r="H636" s="19">
        <v>42594</v>
      </c>
      <c r="I636">
        <v>8.2469999999999999</v>
      </c>
      <c r="K636" s="19"/>
      <c r="N636" s="19"/>
    </row>
    <row r="637" spans="2:14" x14ac:dyDescent="0.25">
      <c r="B637" s="19">
        <v>42597</v>
      </c>
      <c r="C637">
        <v>43.414999999999999</v>
      </c>
      <c r="E637" s="19">
        <v>42597</v>
      </c>
      <c r="F637">
        <v>44.615000000000002</v>
      </c>
      <c r="H637" s="19">
        <v>42597</v>
      </c>
      <c r="I637">
        <v>8.2379999999999995</v>
      </c>
      <c r="K637" s="19"/>
      <c r="N637" s="19"/>
    </row>
    <row r="638" spans="2:14" x14ac:dyDescent="0.25">
      <c r="B638" s="19">
        <v>42598</v>
      </c>
      <c r="C638">
        <v>43.51</v>
      </c>
      <c r="E638" s="19">
        <v>42598</v>
      </c>
      <c r="F638">
        <v>44.02</v>
      </c>
      <c r="H638" s="19">
        <v>42598</v>
      </c>
      <c r="I638">
        <v>8.1669999999999998</v>
      </c>
      <c r="K638" s="19"/>
      <c r="N638" s="19"/>
    </row>
    <row r="639" spans="2:14" x14ac:dyDescent="0.25">
      <c r="B639" s="19">
        <v>42599</v>
      </c>
      <c r="C639">
        <v>43.344999999999999</v>
      </c>
      <c r="E639" s="19">
        <v>42599</v>
      </c>
      <c r="F639">
        <v>43.405000000000001</v>
      </c>
      <c r="H639" s="19">
        <v>42599</v>
      </c>
      <c r="I639">
        <v>8.0679999999999996</v>
      </c>
      <c r="K639" s="19"/>
      <c r="N639" s="19"/>
    </row>
    <row r="640" spans="2:14" x14ac:dyDescent="0.25">
      <c r="B640" s="19">
        <v>42600</v>
      </c>
      <c r="C640">
        <v>43.65</v>
      </c>
      <c r="E640" s="19">
        <v>42600</v>
      </c>
      <c r="F640">
        <v>43.38</v>
      </c>
      <c r="H640" s="19">
        <v>42600</v>
      </c>
      <c r="I640">
        <v>8.0609999999999999</v>
      </c>
      <c r="K640" s="19"/>
      <c r="N640" s="19"/>
    </row>
    <row r="641" spans="2:14" x14ac:dyDescent="0.25">
      <c r="B641" s="19">
        <v>42601</v>
      </c>
      <c r="C641">
        <v>43.064999999999998</v>
      </c>
      <c r="E641" s="19">
        <v>42601</v>
      </c>
      <c r="F641">
        <v>42.58</v>
      </c>
      <c r="H641" s="19">
        <v>42601</v>
      </c>
      <c r="I641">
        <v>7.9160000000000004</v>
      </c>
      <c r="K641" s="19"/>
      <c r="N641" s="19"/>
    </row>
    <row r="642" spans="2:14" x14ac:dyDescent="0.25">
      <c r="B642" s="19">
        <v>42604</v>
      </c>
      <c r="C642">
        <v>42.454999999999998</v>
      </c>
      <c r="E642" s="19">
        <v>42604</v>
      </c>
      <c r="F642">
        <v>43.015000000000001</v>
      </c>
      <c r="H642" s="19">
        <v>42604</v>
      </c>
      <c r="I642">
        <v>7.9370000000000003</v>
      </c>
      <c r="K642" s="19"/>
      <c r="N642" s="19"/>
    </row>
    <row r="643" spans="2:14" x14ac:dyDescent="0.25">
      <c r="B643" s="19">
        <v>42605</v>
      </c>
      <c r="C643">
        <v>42.774999999999999</v>
      </c>
      <c r="E643" s="19">
        <v>42605</v>
      </c>
      <c r="F643">
        <v>43.905000000000001</v>
      </c>
      <c r="H643" s="19">
        <v>42605</v>
      </c>
      <c r="I643">
        <v>8.1010000000000009</v>
      </c>
      <c r="K643" s="19"/>
      <c r="N643" s="19"/>
    </row>
    <row r="644" spans="2:14" x14ac:dyDescent="0.25">
      <c r="B644" s="19">
        <v>42606</v>
      </c>
      <c r="C644">
        <v>42.734999999999999</v>
      </c>
      <c r="E644" s="19">
        <v>42606</v>
      </c>
      <c r="F644">
        <v>44.655000000000001</v>
      </c>
      <c r="H644" s="19">
        <v>42606</v>
      </c>
      <c r="I644">
        <v>8.2349999999999994</v>
      </c>
      <c r="K644" s="19"/>
      <c r="N644" s="19"/>
    </row>
    <row r="645" spans="2:14" x14ac:dyDescent="0.25">
      <c r="B645" s="19">
        <v>42607</v>
      </c>
      <c r="C645">
        <v>42.58</v>
      </c>
      <c r="E645" s="19">
        <v>42607</v>
      </c>
      <c r="F645">
        <v>44.43</v>
      </c>
      <c r="H645" s="19">
        <v>42607</v>
      </c>
      <c r="I645">
        <v>8.1809999999999992</v>
      </c>
      <c r="K645" s="19"/>
      <c r="N645" s="19"/>
    </row>
    <row r="646" spans="2:14" x14ac:dyDescent="0.25">
      <c r="B646" s="19">
        <v>42608</v>
      </c>
      <c r="C646">
        <v>43.42</v>
      </c>
      <c r="E646" s="19">
        <v>42608</v>
      </c>
      <c r="F646">
        <v>44.83</v>
      </c>
      <c r="H646" s="19">
        <v>42608</v>
      </c>
      <c r="I646">
        <v>8.1950000000000003</v>
      </c>
      <c r="K646" s="19"/>
      <c r="N646" s="19"/>
    </row>
    <row r="647" spans="2:14" x14ac:dyDescent="0.25">
      <c r="B647" s="19">
        <v>42611</v>
      </c>
      <c r="C647">
        <v>43.015000000000001</v>
      </c>
      <c r="E647" s="19">
        <v>42611</v>
      </c>
      <c r="F647">
        <v>44.484999999999999</v>
      </c>
      <c r="H647" s="19">
        <v>42611</v>
      </c>
      <c r="I647">
        <v>8.1530000000000005</v>
      </c>
      <c r="K647" s="19"/>
      <c r="N647" s="19"/>
    </row>
    <row r="648" spans="2:14" x14ac:dyDescent="0.25">
      <c r="B648" s="19">
        <v>42612</v>
      </c>
      <c r="C648">
        <v>43.494999999999997</v>
      </c>
      <c r="E648" s="19">
        <v>42612</v>
      </c>
      <c r="F648">
        <v>45.35</v>
      </c>
      <c r="H648" s="19">
        <v>42612</v>
      </c>
      <c r="I648">
        <v>8.2929999999999993</v>
      </c>
      <c r="K648" s="19"/>
      <c r="N648" s="19"/>
    </row>
    <row r="649" spans="2:14" x14ac:dyDescent="0.25">
      <c r="B649" s="19">
        <v>42613</v>
      </c>
      <c r="C649">
        <v>42.75</v>
      </c>
      <c r="E649" s="19">
        <v>42613</v>
      </c>
      <c r="F649">
        <v>45.604999999999997</v>
      </c>
      <c r="H649" s="19">
        <v>42613</v>
      </c>
      <c r="I649">
        <v>8.49</v>
      </c>
      <c r="K649" s="19"/>
      <c r="N649" s="19"/>
    </row>
    <row r="650" spans="2:14" x14ac:dyDescent="0.25">
      <c r="B650" s="19">
        <v>42614</v>
      </c>
      <c r="C650">
        <v>42.55</v>
      </c>
      <c r="E650" s="19">
        <v>42614</v>
      </c>
      <c r="F650">
        <v>46.83</v>
      </c>
      <c r="H650" s="19">
        <v>42614</v>
      </c>
      <c r="I650">
        <v>8.516</v>
      </c>
      <c r="K650" s="19"/>
      <c r="N650" s="19"/>
    </row>
    <row r="651" spans="2:14" x14ac:dyDescent="0.25">
      <c r="B651" s="19">
        <v>42615</v>
      </c>
      <c r="C651">
        <v>43.984999999999999</v>
      </c>
      <c r="E651" s="19">
        <v>42615</v>
      </c>
      <c r="F651">
        <v>47.82</v>
      </c>
      <c r="H651" s="19">
        <v>42615</v>
      </c>
      <c r="I651">
        <v>8.6880000000000006</v>
      </c>
      <c r="K651" s="19"/>
      <c r="N651" s="19"/>
    </row>
    <row r="652" spans="2:14" x14ac:dyDescent="0.25">
      <c r="B652" s="19">
        <v>42618</v>
      </c>
      <c r="C652">
        <v>44.27</v>
      </c>
      <c r="E652" s="19">
        <v>42618</v>
      </c>
      <c r="F652">
        <v>47.38</v>
      </c>
      <c r="H652" s="19">
        <v>42618</v>
      </c>
      <c r="I652">
        <v>8.6829999999999998</v>
      </c>
      <c r="K652" s="19"/>
      <c r="N652" s="19"/>
    </row>
    <row r="653" spans="2:14" x14ac:dyDescent="0.25">
      <c r="B653" s="19">
        <v>42619</v>
      </c>
      <c r="C653">
        <v>44.094999999999999</v>
      </c>
      <c r="E653" s="19">
        <v>42619</v>
      </c>
      <c r="F653">
        <v>46.72</v>
      </c>
      <c r="H653" s="19">
        <v>42619</v>
      </c>
      <c r="I653">
        <v>8.5370000000000008</v>
      </c>
      <c r="K653" s="19"/>
      <c r="N653" s="19"/>
    </row>
    <row r="654" spans="2:14" x14ac:dyDescent="0.25">
      <c r="B654" s="19">
        <v>42620</v>
      </c>
      <c r="C654">
        <v>44.604999999999997</v>
      </c>
      <c r="E654" s="19">
        <v>42620</v>
      </c>
      <c r="F654">
        <v>46.975000000000001</v>
      </c>
      <c r="H654" s="19">
        <v>42620</v>
      </c>
      <c r="I654">
        <v>8.6210000000000004</v>
      </c>
      <c r="K654" s="19"/>
      <c r="N654" s="19"/>
    </row>
    <row r="655" spans="2:14" x14ac:dyDescent="0.25">
      <c r="B655" s="19">
        <v>42621</v>
      </c>
      <c r="C655">
        <v>44.445</v>
      </c>
      <c r="E655" s="19">
        <v>42621</v>
      </c>
      <c r="F655">
        <v>47.825000000000003</v>
      </c>
      <c r="H655" s="19">
        <v>42621</v>
      </c>
      <c r="I655">
        <v>8.7810000000000006</v>
      </c>
      <c r="K655" s="19"/>
      <c r="N655" s="19"/>
    </row>
    <row r="656" spans="2:14" x14ac:dyDescent="0.25">
      <c r="B656" s="19">
        <v>42622</v>
      </c>
      <c r="C656">
        <v>43.854999999999997</v>
      </c>
      <c r="E656" s="19">
        <v>42622</v>
      </c>
      <c r="F656">
        <v>47.93</v>
      </c>
      <c r="H656" s="19">
        <v>42622</v>
      </c>
      <c r="I656">
        <v>8.7859999999999996</v>
      </c>
      <c r="K656" s="19"/>
      <c r="N656" s="19"/>
    </row>
    <row r="657" spans="2:14" x14ac:dyDescent="0.25">
      <c r="B657" s="19">
        <v>42625</v>
      </c>
      <c r="C657">
        <v>43.435000000000002</v>
      </c>
      <c r="E657" s="19">
        <v>42625</v>
      </c>
      <c r="F657">
        <v>46.875</v>
      </c>
      <c r="H657" s="19">
        <v>42625</v>
      </c>
      <c r="I657">
        <v>8.6470000000000002</v>
      </c>
      <c r="K657" s="19"/>
      <c r="N657" s="19"/>
    </row>
    <row r="658" spans="2:14" x14ac:dyDescent="0.25">
      <c r="B658" s="19">
        <v>42626</v>
      </c>
      <c r="C658">
        <v>42</v>
      </c>
      <c r="E658" s="19">
        <v>42626</v>
      </c>
      <c r="F658">
        <v>46.015000000000001</v>
      </c>
      <c r="H658" s="19">
        <v>42626</v>
      </c>
      <c r="I658">
        <v>8.4960000000000004</v>
      </c>
      <c r="K658" s="19"/>
      <c r="N658" s="19"/>
    </row>
    <row r="659" spans="2:14" x14ac:dyDescent="0.25">
      <c r="B659" s="19">
        <v>42627</v>
      </c>
      <c r="C659">
        <v>41.49</v>
      </c>
      <c r="E659" s="19">
        <v>42627</v>
      </c>
      <c r="F659">
        <v>45.945</v>
      </c>
      <c r="H659" s="19">
        <v>42627</v>
      </c>
      <c r="I659">
        <v>8.548</v>
      </c>
      <c r="K659" s="19"/>
      <c r="N659" s="19"/>
    </row>
    <row r="660" spans="2:14" x14ac:dyDescent="0.25">
      <c r="B660" s="19">
        <v>42628</v>
      </c>
      <c r="C660">
        <v>41.51</v>
      </c>
      <c r="E660" s="19">
        <v>42628</v>
      </c>
      <c r="F660">
        <v>45.685000000000002</v>
      </c>
      <c r="H660" s="19">
        <v>42628</v>
      </c>
      <c r="I660">
        <v>8.7050000000000001</v>
      </c>
      <c r="K660" s="19"/>
      <c r="N660" s="19"/>
    </row>
    <row r="661" spans="2:14" x14ac:dyDescent="0.25">
      <c r="B661" s="19">
        <v>42629</v>
      </c>
      <c r="C661">
        <v>40.604999999999997</v>
      </c>
      <c r="E661" s="19">
        <v>42629</v>
      </c>
      <c r="F661">
        <v>44.64</v>
      </c>
      <c r="H661" s="19">
        <v>42629</v>
      </c>
      <c r="I661">
        <v>8.64</v>
      </c>
      <c r="K661" s="19"/>
      <c r="N661" s="19"/>
    </row>
    <row r="662" spans="2:14" x14ac:dyDescent="0.25">
      <c r="B662" s="19">
        <v>42632</v>
      </c>
      <c r="C662">
        <v>41.685000000000002</v>
      </c>
      <c r="E662" s="19">
        <v>42632</v>
      </c>
      <c r="F662">
        <v>44.93</v>
      </c>
      <c r="H662" s="19">
        <v>42632</v>
      </c>
      <c r="I662">
        <v>8.609</v>
      </c>
      <c r="K662" s="19"/>
      <c r="N662" s="19"/>
    </row>
    <row r="663" spans="2:14" x14ac:dyDescent="0.25">
      <c r="B663" s="19">
        <v>42633</v>
      </c>
      <c r="C663">
        <v>41.46</v>
      </c>
      <c r="E663" s="19">
        <v>42633</v>
      </c>
      <c r="F663">
        <v>44.954999999999998</v>
      </c>
      <c r="H663" s="19">
        <v>42633</v>
      </c>
      <c r="I663">
        <v>8.5890000000000004</v>
      </c>
      <c r="K663" s="19"/>
      <c r="N663" s="19"/>
    </row>
    <row r="664" spans="2:14" x14ac:dyDescent="0.25">
      <c r="B664" s="19">
        <v>42634</v>
      </c>
      <c r="C664">
        <v>41.524999999999999</v>
      </c>
      <c r="E664" s="19">
        <v>42634</v>
      </c>
      <c r="F664">
        <v>46.24</v>
      </c>
      <c r="H664" s="19">
        <v>42634</v>
      </c>
      <c r="I664">
        <v>8.8409999999999993</v>
      </c>
      <c r="K664" s="19"/>
      <c r="N664" s="19"/>
    </row>
    <row r="665" spans="2:14" x14ac:dyDescent="0.25">
      <c r="B665" s="19">
        <v>42635</v>
      </c>
      <c r="C665">
        <v>43.055</v>
      </c>
      <c r="E665" s="19">
        <v>42635</v>
      </c>
      <c r="F665">
        <v>47.3</v>
      </c>
      <c r="H665" s="19">
        <v>42635</v>
      </c>
      <c r="I665">
        <v>8.9529999999999994</v>
      </c>
      <c r="K665" s="19"/>
      <c r="N665" s="19"/>
    </row>
    <row r="666" spans="2:14" x14ac:dyDescent="0.25">
      <c r="B666" s="19">
        <v>42636</v>
      </c>
      <c r="C666">
        <v>42.534999999999997</v>
      </c>
      <c r="E666" s="19">
        <v>42636</v>
      </c>
      <c r="F666">
        <v>46.954999999999998</v>
      </c>
      <c r="H666" s="19">
        <v>42636</v>
      </c>
      <c r="I666">
        <v>8.8770000000000007</v>
      </c>
      <c r="K666" s="19"/>
      <c r="N666" s="19"/>
    </row>
    <row r="667" spans="2:14" x14ac:dyDescent="0.25">
      <c r="B667" s="19">
        <v>42639</v>
      </c>
      <c r="C667">
        <v>41.73</v>
      </c>
      <c r="E667" s="19">
        <v>42639</v>
      </c>
      <c r="F667">
        <v>45.42</v>
      </c>
      <c r="H667" s="19">
        <v>42639</v>
      </c>
      <c r="I667">
        <v>8.6340000000000003</v>
      </c>
      <c r="K667" s="19"/>
      <c r="N667" s="19"/>
    </row>
    <row r="668" spans="2:14" x14ac:dyDescent="0.25">
      <c r="B668" s="19">
        <v>42640</v>
      </c>
      <c r="C668">
        <v>40.770000000000003</v>
      </c>
      <c r="E668" s="19">
        <v>42640</v>
      </c>
      <c r="F668">
        <v>45.185000000000002</v>
      </c>
      <c r="H668" s="19">
        <v>42640</v>
      </c>
      <c r="I668">
        <v>8.5429999999999993</v>
      </c>
      <c r="K668" s="19"/>
      <c r="N668" s="19"/>
    </row>
    <row r="669" spans="2:14" x14ac:dyDescent="0.25">
      <c r="B669" s="19">
        <v>42641</v>
      </c>
      <c r="C669">
        <v>40.97</v>
      </c>
      <c r="E669" s="19">
        <v>42641</v>
      </c>
      <c r="F669">
        <v>45.615000000000002</v>
      </c>
      <c r="H669" s="19">
        <v>42641</v>
      </c>
      <c r="I669">
        <v>8.702</v>
      </c>
      <c r="K669" s="19"/>
      <c r="N669" s="19"/>
    </row>
    <row r="670" spans="2:14" x14ac:dyDescent="0.25">
      <c r="B670" s="19">
        <v>42642</v>
      </c>
      <c r="C670">
        <v>42.67</v>
      </c>
      <c r="E670" s="19">
        <v>42642</v>
      </c>
      <c r="F670">
        <v>45.405000000000001</v>
      </c>
      <c r="H670" s="19">
        <v>42642</v>
      </c>
      <c r="I670">
        <v>8.6950000000000003</v>
      </c>
      <c r="K670" s="19"/>
      <c r="N670" s="19"/>
    </row>
    <row r="671" spans="2:14" x14ac:dyDescent="0.25">
      <c r="B671" s="19">
        <v>42643</v>
      </c>
      <c r="C671">
        <v>42.17</v>
      </c>
      <c r="E671" s="19">
        <v>42643</v>
      </c>
      <c r="F671">
        <v>45.77</v>
      </c>
      <c r="H671" s="19">
        <v>42643</v>
      </c>
      <c r="I671">
        <v>8.7780000000000005</v>
      </c>
      <c r="K671" s="19"/>
      <c r="N671" s="19"/>
    </row>
    <row r="672" spans="2:14" x14ac:dyDescent="0.25">
      <c r="B672" s="19">
        <v>42646</v>
      </c>
      <c r="C672">
        <v>42.325000000000003</v>
      </c>
      <c r="E672" s="19">
        <v>42646</v>
      </c>
      <c r="F672">
        <v>45.615000000000002</v>
      </c>
      <c r="H672" s="19">
        <v>42646</v>
      </c>
      <c r="I672">
        <v>8.7789999999999999</v>
      </c>
      <c r="K672" s="19"/>
      <c r="N672" s="19"/>
    </row>
    <row r="673" spans="2:14" x14ac:dyDescent="0.25">
      <c r="B673" s="19">
        <v>42647</v>
      </c>
      <c r="C673">
        <v>43.11</v>
      </c>
      <c r="E673" s="19">
        <v>42647</v>
      </c>
      <c r="F673">
        <v>46.03</v>
      </c>
      <c r="H673" s="19">
        <v>42647</v>
      </c>
      <c r="I673">
        <v>8.8870000000000005</v>
      </c>
      <c r="K673" s="19"/>
      <c r="N673" s="19"/>
    </row>
    <row r="674" spans="2:14" x14ac:dyDescent="0.25">
      <c r="B674" s="19">
        <v>42648</v>
      </c>
      <c r="C674">
        <v>43.07</v>
      </c>
      <c r="E674" s="19">
        <v>42648</v>
      </c>
      <c r="F674">
        <v>47.6</v>
      </c>
      <c r="H674" s="19">
        <v>42648</v>
      </c>
      <c r="I674">
        <v>9.08</v>
      </c>
      <c r="K674" s="19"/>
      <c r="N674" s="19"/>
    </row>
    <row r="675" spans="2:14" x14ac:dyDescent="0.25">
      <c r="B675" s="19">
        <v>42649</v>
      </c>
      <c r="C675">
        <v>43.055</v>
      </c>
      <c r="E675" s="19">
        <v>42649</v>
      </c>
      <c r="F675">
        <v>48.55</v>
      </c>
      <c r="H675" s="19">
        <v>42649</v>
      </c>
      <c r="I675">
        <v>9.1140000000000008</v>
      </c>
      <c r="K675" s="19"/>
      <c r="N675" s="19"/>
    </row>
    <row r="676" spans="2:14" x14ac:dyDescent="0.25">
      <c r="B676" s="19">
        <v>42650</v>
      </c>
      <c r="C676">
        <v>42.93</v>
      </c>
      <c r="E676" s="19">
        <v>42650</v>
      </c>
      <c r="F676">
        <v>49.31</v>
      </c>
      <c r="H676" s="19">
        <v>42650</v>
      </c>
      <c r="I676">
        <v>9.1050000000000004</v>
      </c>
      <c r="K676" s="19"/>
      <c r="N676" s="19"/>
    </row>
    <row r="677" spans="2:14" x14ac:dyDescent="0.25">
      <c r="B677" s="19">
        <v>42653</v>
      </c>
      <c r="C677">
        <v>43.774999999999999</v>
      </c>
      <c r="E677" s="19">
        <v>42653</v>
      </c>
      <c r="F677">
        <v>49.1</v>
      </c>
      <c r="H677" s="19">
        <v>42653</v>
      </c>
      <c r="I677">
        <v>9.1890000000000001</v>
      </c>
      <c r="K677" s="19"/>
      <c r="N677" s="19"/>
    </row>
    <row r="678" spans="2:14" x14ac:dyDescent="0.25">
      <c r="B678" s="19">
        <v>42654</v>
      </c>
      <c r="C678">
        <v>43.34</v>
      </c>
      <c r="E678" s="19">
        <v>42654</v>
      </c>
      <c r="F678">
        <v>48.55</v>
      </c>
      <c r="H678" s="19">
        <v>42654</v>
      </c>
      <c r="I678">
        <v>9.2550000000000008</v>
      </c>
      <c r="K678" s="19"/>
      <c r="N678" s="19"/>
    </row>
    <row r="679" spans="2:14" x14ac:dyDescent="0.25">
      <c r="B679" s="19">
        <v>42655</v>
      </c>
      <c r="C679">
        <v>43.7</v>
      </c>
      <c r="E679" s="19">
        <v>42655</v>
      </c>
      <c r="F679">
        <v>48.335000000000001</v>
      </c>
      <c r="H679" s="19">
        <v>42655</v>
      </c>
      <c r="I679">
        <v>9.35</v>
      </c>
      <c r="K679" s="19"/>
      <c r="N679" s="19"/>
    </row>
    <row r="680" spans="2:14" x14ac:dyDescent="0.25">
      <c r="B680" s="19">
        <v>42656</v>
      </c>
      <c r="C680">
        <v>43.4</v>
      </c>
      <c r="E680" s="19">
        <v>42656</v>
      </c>
      <c r="F680">
        <v>46.935000000000002</v>
      </c>
      <c r="H680" s="19">
        <v>42656</v>
      </c>
      <c r="I680">
        <v>9.0489999999999995</v>
      </c>
      <c r="K680" s="19"/>
      <c r="N680" s="19"/>
    </row>
    <row r="681" spans="2:14" x14ac:dyDescent="0.25">
      <c r="B681" s="19">
        <v>42657</v>
      </c>
      <c r="C681">
        <v>44.13</v>
      </c>
      <c r="E681" s="19">
        <v>42657</v>
      </c>
      <c r="F681">
        <v>48.195</v>
      </c>
      <c r="H681" s="19">
        <v>42657</v>
      </c>
      <c r="I681">
        <v>9.2100000000000009</v>
      </c>
      <c r="K681" s="19"/>
      <c r="N681" s="19"/>
    </row>
    <row r="682" spans="2:14" x14ac:dyDescent="0.25">
      <c r="B682" s="19">
        <v>42660</v>
      </c>
      <c r="C682">
        <v>43.6</v>
      </c>
      <c r="E682" s="19">
        <v>42660</v>
      </c>
      <c r="F682">
        <v>48.5</v>
      </c>
      <c r="H682" s="19">
        <v>42660</v>
      </c>
      <c r="I682">
        <v>9.2639999999999993</v>
      </c>
      <c r="K682" s="19"/>
      <c r="N682" s="19"/>
    </row>
    <row r="683" spans="2:14" x14ac:dyDescent="0.25">
      <c r="B683" s="19">
        <v>42661</v>
      </c>
      <c r="C683">
        <v>44.03</v>
      </c>
      <c r="E683" s="19">
        <v>42661</v>
      </c>
      <c r="F683">
        <v>49.314999999999998</v>
      </c>
      <c r="H683" s="19">
        <v>42661</v>
      </c>
      <c r="I683">
        <v>9.4090000000000007</v>
      </c>
      <c r="K683" s="19"/>
      <c r="N683" s="19"/>
    </row>
    <row r="684" spans="2:14" x14ac:dyDescent="0.25">
      <c r="B684" s="19">
        <v>42662</v>
      </c>
      <c r="C684">
        <v>44.155000000000001</v>
      </c>
      <c r="E684" s="19">
        <v>42662</v>
      </c>
      <c r="F684">
        <v>50</v>
      </c>
      <c r="H684" s="19">
        <v>42662</v>
      </c>
      <c r="I684">
        <v>9.3870000000000005</v>
      </c>
      <c r="K684" s="19"/>
      <c r="N684" s="19"/>
    </row>
    <row r="685" spans="2:14" x14ac:dyDescent="0.25">
      <c r="B685" s="19">
        <v>42663</v>
      </c>
      <c r="C685">
        <v>44.46</v>
      </c>
      <c r="E685" s="19">
        <v>42663</v>
      </c>
      <c r="F685">
        <v>51.06</v>
      </c>
      <c r="H685" s="19">
        <v>42663</v>
      </c>
      <c r="I685">
        <v>9.5269999999999992</v>
      </c>
      <c r="K685" s="19"/>
      <c r="N685" s="19"/>
    </row>
    <row r="686" spans="2:14" x14ac:dyDescent="0.25">
      <c r="B686" s="19">
        <v>42664</v>
      </c>
      <c r="C686">
        <v>44.32</v>
      </c>
      <c r="E686" s="19">
        <v>42664</v>
      </c>
      <c r="F686">
        <v>51.64</v>
      </c>
      <c r="H686" s="19">
        <v>42664</v>
      </c>
      <c r="I686">
        <v>9.5399999999999991</v>
      </c>
      <c r="K686" s="19"/>
      <c r="N686" s="19"/>
    </row>
    <row r="687" spans="2:14" x14ac:dyDescent="0.25">
      <c r="B687" s="19">
        <v>42667</v>
      </c>
      <c r="C687">
        <v>44.35</v>
      </c>
      <c r="E687" s="19">
        <v>42667</v>
      </c>
      <c r="F687">
        <v>52.69</v>
      </c>
      <c r="H687" s="19">
        <v>42667</v>
      </c>
      <c r="I687">
        <v>9.859</v>
      </c>
      <c r="K687" s="19"/>
      <c r="N687" s="19"/>
    </row>
    <row r="688" spans="2:14" x14ac:dyDescent="0.25">
      <c r="B688" s="19">
        <v>42668</v>
      </c>
      <c r="C688">
        <v>44.46</v>
      </c>
      <c r="E688" s="19">
        <v>42668</v>
      </c>
      <c r="F688">
        <v>52.82</v>
      </c>
      <c r="H688" s="19">
        <v>42668</v>
      </c>
      <c r="I688">
        <v>9.8979999999999997</v>
      </c>
      <c r="K688" s="19"/>
      <c r="N688" s="19"/>
    </row>
    <row r="689" spans="2:14" x14ac:dyDescent="0.25">
      <c r="B689" s="19">
        <v>42669</v>
      </c>
      <c r="C689">
        <v>44.015000000000001</v>
      </c>
      <c r="E689" s="19">
        <v>42669</v>
      </c>
      <c r="F689">
        <v>52.91</v>
      </c>
      <c r="H689" s="19">
        <v>42669</v>
      </c>
      <c r="I689">
        <v>9.9250000000000007</v>
      </c>
      <c r="K689" s="19"/>
      <c r="N689" s="19"/>
    </row>
    <row r="690" spans="2:14" x14ac:dyDescent="0.25">
      <c r="B690" s="19">
        <v>42670</v>
      </c>
      <c r="C690">
        <v>44.564999999999998</v>
      </c>
      <c r="E690" s="19">
        <v>42670</v>
      </c>
      <c r="F690">
        <v>53.5</v>
      </c>
      <c r="H690" s="19">
        <v>42670</v>
      </c>
      <c r="I690">
        <v>9.9450000000000003</v>
      </c>
      <c r="K690" s="19"/>
      <c r="N690" s="19"/>
    </row>
    <row r="691" spans="2:14" x14ac:dyDescent="0.25">
      <c r="B691" s="19">
        <v>42671</v>
      </c>
      <c r="C691">
        <v>44.4</v>
      </c>
      <c r="E691" s="19">
        <v>42671</v>
      </c>
      <c r="F691">
        <v>53.97</v>
      </c>
      <c r="H691" s="19">
        <v>42671</v>
      </c>
      <c r="I691">
        <v>9.9369999999999994</v>
      </c>
      <c r="K691" s="19"/>
      <c r="N691" s="19"/>
    </row>
    <row r="692" spans="2:14" x14ac:dyDescent="0.25">
      <c r="B692" s="19">
        <v>42674</v>
      </c>
      <c r="C692">
        <v>43.72</v>
      </c>
      <c r="E692" s="19">
        <v>42674</v>
      </c>
      <c r="F692">
        <v>52.84</v>
      </c>
      <c r="H692" s="19">
        <v>42674</v>
      </c>
      <c r="I692">
        <v>9.8320000000000007</v>
      </c>
      <c r="K692" s="19"/>
      <c r="N692" s="19"/>
    </row>
    <row r="693" spans="2:14" x14ac:dyDescent="0.25">
      <c r="B693" s="19">
        <v>42675</v>
      </c>
      <c r="C693">
        <v>43.274999999999999</v>
      </c>
      <c r="E693" s="19">
        <v>42675</v>
      </c>
      <c r="F693">
        <v>52.74</v>
      </c>
      <c r="H693" s="19">
        <v>42675</v>
      </c>
      <c r="I693">
        <v>9.69</v>
      </c>
      <c r="K693" s="19"/>
      <c r="N693" s="19"/>
    </row>
    <row r="694" spans="2:14" x14ac:dyDescent="0.25">
      <c r="B694" s="19">
        <v>42676</v>
      </c>
      <c r="C694">
        <v>42.4</v>
      </c>
      <c r="E694" s="19">
        <v>42676</v>
      </c>
      <c r="F694">
        <v>50.76</v>
      </c>
      <c r="H694" s="19">
        <v>42676</v>
      </c>
      <c r="I694">
        <v>9.5039999999999996</v>
      </c>
      <c r="K694" s="19"/>
      <c r="N694" s="19"/>
    </row>
    <row r="695" spans="2:14" x14ac:dyDescent="0.25">
      <c r="B695" s="19">
        <v>42677</v>
      </c>
      <c r="C695">
        <v>42.32</v>
      </c>
      <c r="E695" s="19">
        <v>42677</v>
      </c>
      <c r="F695">
        <v>51.51</v>
      </c>
      <c r="H695" s="19">
        <v>42677</v>
      </c>
      <c r="I695">
        <v>9.6669999999999998</v>
      </c>
      <c r="K695" s="19"/>
      <c r="N695" s="19"/>
    </row>
    <row r="696" spans="2:14" x14ac:dyDescent="0.25">
      <c r="B696" s="19">
        <v>42678</v>
      </c>
      <c r="C696">
        <v>42.125</v>
      </c>
      <c r="E696" s="19">
        <v>42678</v>
      </c>
      <c r="F696">
        <v>50.64</v>
      </c>
      <c r="H696" s="19">
        <v>42678</v>
      </c>
      <c r="I696">
        <v>9.5190000000000001</v>
      </c>
      <c r="K696" s="19"/>
      <c r="N696" s="19"/>
    </row>
    <row r="697" spans="2:14" x14ac:dyDescent="0.25">
      <c r="B697" s="19">
        <v>42681</v>
      </c>
      <c r="C697">
        <v>42.884999999999998</v>
      </c>
      <c r="E697" s="19">
        <v>42681</v>
      </c>
      <c r="F697">
        <v>52.53</v>
      </c>
      <c r="H697" s="19">
        <v>42681</v>
      </c>
      <c r="I697">
        <v>9.7309999999999999</v>
      </c>
      <c r="K697" s="19"/>
      <c r="N697" s="19"/>
    </row>
    <row r="698" spans="2:14" x14ac:dyDescent="0.25">
      <c r="B698" s="19">
        <v>42682</v>
      </c>
      <c r="C698">
        <v>43.204999999999998</v>
      </c>
      <c r="E698" s="19">
        <v>42682</v>
      </c>
      <c r="F698">
        <v>53.12</v>
      </c>
      <c r="H698" s="19">
        <v>42682</v>
      </c>
      <c r="I698">
        <v>10.28</v>
      </c>
      <c r="K698" s="19"/>
      <c r="N698" s="19"/>
    </row>
    <row r="699" spans="2:14" x14ac:dyDescent="0.25">
      <c r="B699" s="19">
        <v>42683</v>
      </c>
      <c r="C699">
        <v>43.494999999999997</v>
      </c>
      <c r="E699" s="19">
        <v>42683</v>
      </c>
      <c r="F699">
        <v>54.8</v>
      </c>
      <c r="H699" s="19">
        <v>42683</v>
      </c>
      <c r="I699">
        <v>10.67</v>
      </c>
      <c r="K699" s="19"/>
      <c r="N699" s="19"/>
    </row>
    <row r="700" spans="2:14" x14ac:dyDescent="0.25">
      <c r="B700" s="19">
        <v>42684</v>
      </c>
      <c r="C700">
        <v>43.59</v>
      </c>
      <c r="E700" s="19">
        <v>42684</v>
      </c>
      <c r="F700">
        <v>55.41</v>
      </c>
      <c r="H700" s="19">
        <v>42684</v>
      </c>
      <c r="I700">
        <v>10.59</v>
      </c>
      <c r="K700" s="19"/>
      <c r="N700" s="19"/>
    </row>
    <row r="701" spans="2:14" x14ac:dyDescent="0.25">
      <c r="B701" s="19">
        <v>42685</v>
      </c>
      <c r="C701">
        <v>42.45</v>
      </c>
      <c r="E701" s="19">
        <v>42685</v>
      </c>
      <c r="F701">
        <v>54.75</v>
      </c>
      <c r="H701" s="19">
        <v>42685</v>
      </c>
      <c r="I701">
        <v>10.685</v>
      </c>
      <c r="K701" s="19"/>
      <c r="N701" s="19"/>
    </row>
    <row r="702" spans="2:14" x14ac:dyDescent="0.25">
      <c r="B702" s="19">
        <v>42688</v>
      </c>
      <c r="C702">
        <v>42.16</v>
      </c>
      <c r="E702" s="19">
        <v>42688</v>
      </c>
      <c r="F702">
        <v>55.66</v>
      </c>
      <c r="H702" s="19">
        <v>42688</v>
      </c>
      <c r="I702">
        <v>10.85</v>
      </c>
      <c r="K702" s="19"/>
      <c r="N702" s="19"/>
    </row>
    <row r="703" spans="2:14" x14ac:dyDescent="0.25">
      <c r="B703" s="19">
        <v>42689</v>
      </c>
      <c r="C703">
        <v>43.515000000000001</v>
      </c>
      <c r="E703" s="19">
        <v>42689</v>
      </c>
      <c r="F703">
        <v>55.49</v>
      </c>
      <c r="H703" s="19">
        <v>42689</v>
      </c>
      <c r="I703">
        <v>10.885</v>
      </c>
      <c r="K703" s="19"/>
      <c r="N703" s="19"/>
    </row>
    <row r="704" spans="2:14" x14ac:dyDescent="0.25">
      <c r="B704" s="19">
        <v>42690</v>
      </c>
      <c r="C704">
        <v>43.37</v>
      </c>
      <c r="E704" s="19">
        <v>42690</v>
      </c>
      <c r="F704">
        <v>54.18</v>
      </c>
      <c r="H704" s="19">
        <v>42690</v>
      </c>
      <c r="I704">
        <v>10.79</v>
      </c>
      <c r="K704" s="19"/>
      <c r="N704" s="19"/>
    </row>
    <row r="705" spans="2:14" x14ac:dyDescent="0.25">
      <c r="B705" s="19">
        <v>42691</v>
      </c>
      <c r="C705">
        <v>43.68</v>
      </c>
      <c r="E705" s="19">
        <v>42691</v>
      </c>
      <c r="F705">
        <v>54.6</v>
      </c>
      <c r="H705" s="19">
        <v>42691</v>
      </c>
      <c r="I705">
        <v>10.79</v>
      </c>
      <c r="K705" s="19"/>
      <c r="N705" s="19"/>
    </row>
    <row r="706" spans="2:14" x14ac:dyDescent="0.25">
      <c r="B706" s="19">
        <v>42692</v>
      </c>
      <c r="C706">
        <v>43.12</v>
      </c>
      <c r="E706" s="19">
        <v>42692</v>
      </c>
      <c r="F706">
        <v>54.39</v>
      </c>
      <c r="H706" s="19">
        <v>42692</v>
      </c>
      <c r="I706">
        <v>10.81</v>
      </c>
      <c r="K706" s="19"/>
      <c r="N706" s="19"/>
    </row>
    <row r="707" spans="2:14" x14ac:dyDescent="0.25">
      <c r="B707" s="19">
        <v>42695</v>
      </c>
      <c r="C707">
        <v>44</v>
      </c>
      <c r="E707" s="19">
        <v>42695</v>
      </c>
      <c r="F707">
        <v>54.5</v>
      </c>
      <c r="H707" s="19">
        <v>42695</v>
      </c>
      <c r="I707">
        <v>10.775</v>
      </c>
      <c r="K707" s="19"/>
      <c r="N707" s="19"/>
    </row>
    <row r="708" spans="2:14" x14ac:dyDescent="0.25">
      <c r="B708" s="19">
        <v>42696</v>
      </c>
      <c r="C708">
        <v>44.16</v>
      </c>
      <c r="E708" s="19">
        <v>42696</v>
      </c>
      <c r="F708">
        <v>55.77</v>
      </c>
      <c r="H708" s="19">
        <v>42696</v>
      </c>
      <c r="I708">
        <v>10.994999999999999</v>
      </c>
      <c r="K708" s="19"/>
      <c r="N708" s="19"/>
    </row>
    <row r="709" spans="2:14" x14ac:dyDescent="0.25">
      <c r="B709" s="19">
        <v>42697</v>
      </c>
      <c r="C709">
        <v>44.055</v>
      </c>
      <c r="E709" s="19">
        <v>42697</v>
      </c>
      <c r="F709">
        <v>55.65</v>
      </c>
      <c r="H709" s="19">
        <v>42697</v>
      </c>
      <c r="I709">
        <v>10.914999999999999</v>
      </c>
      <c r="K709" s="19"/>
      <c r="N709" s="19"/>
    </row>
    <row r="710" spans="2:14" x14ac:dyDescent="0.25">
      <c r="B710" s="19">
        <v>42698</v>
      </c>
      <c r="C710">
        <v>44.094999999999999</v>
      </c>
      <c r="E710" s="19">
        <v>42698</v>
      </c>
      <c r="F710">
        <v>55.29</v>
      </c>
      <c r="H710" s="19">
        <v>42698</v>
      </c>
      <c r="I710">
        <v>10.88</v>
      </c>
      <c r="K710" s="19"/>
      <c r="N710" s="19"/>
    </row>
    <row r="711" spans="2:14" x14ac:dyDescent="0.25">
      <c r="B711" s="19">
        <v>42699</v>
      </c>
      <c r="C711">
        <v>44.1</v>
      </c>
      <c r="E711" s="19">
        <v>42699</v>
      </c>
      <c r="F711">
        <v>54.94</v>
      </c>
      <c r="H711" s="19">
        <v>42699</v>
      </c>
      <c r="I711">
        <v>10.835000000000001</v>
      </c>
      <c r="K711" s="19"/>
      <c r="N711" s="19"/>
    </row>
    <row r="712" spans="2:14" x14ac:dyDescent="0.25">
      <c r="B712" s="19">
        <v>42702</v>
      </c>
      <c r="C712">
        <v>44.034999999999997</v>
      </c>
      <c r="E712" s="19">
        <v>42702</v>
      </c>
      <c r="F712">
        <v>53.5</v>
      </c>
      <c r="H712" s="19">
        <v>42702</v>
      </c>
      <c r="I712">
        <v>10.6</v>
      </c>
      <c r="K712" s="19"/>
      <c r="N712" s="19"/>
    </row>
    <row r="713" spans="2:14" x14ac:dyDescent="0.25">
      <c r="B713" s="19">
        <v>42703</v>
      </c>
      <c r="C713">
        <v>43.92</v>
      </c>
      <c r="E713" s="19">
        <v>42703</v>
      </c>
      <c r="F713">
        <v>54.39</v>
      </c>
      <c r="H713" s="19">
        <v>42703</v>
      </c>
      <c r="I713">
        <v>10.65</v>
      </c>
      <c r="K713" s="19"/>
      <c r="N713" s="19"/>
    </row>
    <row r="714" spans="2:14" x14ac:dyDescent="0.25">
      <c r="B714" s="19">
        <v>42704</v>
      </c>
      <c r="C714">
        <v>44.954999999999998</v>
      </c>
      <c r="E714" s="19">
        <v>42704</v>
      </c>
      <c r="F714">
        <v>54.78</v>
      </c>
      <c r="H714" s="19">
        <v>42704</v>
      </c>
      <c r="I714">
        <v>10.65</v>
      </c>
      <c r="K714" s="19"/>
      <c r="N714" s="19"/>
    </row>
    <row r="715" spans="2:14" x14ac:dyDescent="0.25">
      <c r="B715" s="19">
        <v>42705</v>
      </c>
      <c r="C715">
        <v>45.06</v>
      </c>
      <c r="E715" s="19">
        <v>42705</v>
      </c>
      <c r="F715">
        <v>55.9</v>
      </c>
      <c r="H715" s="19">
        <v>42705</v>
      </c>
      <c r="I715">
        <v>10.75</v>
      </c>
      <c r="K715" s="19"/>
      <c r="N715" s="19"/>
    </row>
    <row r="716" spans="2:14" x14ac:dyDescent="0.25">
      <c r="B716" s="19">
        <v>42706</v>
      </c>
      <c r="C716">
        <v>44.905000000000001</v>
      </c>
      <c r="E716" s="19">
        <v>42706</v>
      </c>
      <c r="F716">
        <v>54.59</v>
      </c>
      <c r="H716" s="19">
        <v>42706</v>
      </c>
      <c r="I716">
        <v>10.6</v>
      </c>
      <c r="K716" s="19"/>
      <c r="N716" s="19"/>
    </row>
    <row r="717" spans="2:14" x14ac:dyDescent="0.25">
      <c r="B717" s="19">
        <v>42709</v>
      </c>
      <c r="C717">
        <v>44.95</v>
      </c>
      <c r="E717" s="19">
        <v>42709</v>
      </c>
      <c r="F717">
        <v>55.3</v>
      </c>
      <c r="H717" s="19">
        <v>42709</v>
      </c>
      <c r="I717">
        <v>10.855</v>
      </c>
      <c r="K717" s="19"/>
      <c r="N717" s="19"/>
    </row>
    <row r="718" spans="2:14" x14ac:dyDescent="0.25">
      <c r="B718" s="19">
        <v>42710</v>
      </c>
      <c r="C718">
        <v>45.085000000000001</v>
      </c>
      <c r="E718" s="19">
        <v>42710</v>
      </c>
      <c r="F718">
        <v>58.15</v>
      </c>
      <c r="H718" s="19">
        <v>42710</v>
      </c>
      <c r="I718">
        <v>11.275</v>
      </c>
      <c r="K718" s="19"/>
      <c r="N718" s="19"/>
    </row>
    <row r="719" spans="2:14" x14ac:dyDescent="0.25">
      <c r="B719" s="19">
        <v>42711</v>
      </c>
      <c r="C719">
        <v>45.75</v>
      </c>
      <c r="E719" s="19">
        <v>42711</v>
      </c>
      <c r="F719">
        <v>59.46</v>
      </c>
      <c r="H719" s="19">
        <v>42711</v>
      </c>
      <c r="I719">
        <v>11.38</v>
      </c>
      <c r="K719" s="19"/>
      <c r="N719" s="19"/>
    </row>
    <row r="720" spans="2:14" x14ac:dyDescent="0.25">
      <c r="B720" s="19">
        <v>42712</v>
      </c>
      <c r="C720">
        <v>45.914999999999999</v>
      </c>
      <c r="E720" s="19">
        <v>42712</v>
      </c>
      <c r="F720">
        <v>60.61</v>
      </c>
      <c r="H720" s="19">
        <v>42712</v>
      </c>
      <c r="I720">
        <v>11.615</v>
      </c>
      <c r="K720" s="19"/>
      <c r="N720" s="19"/>
    </row>
    <row r="721" spans="2:14" x14ac:dyDescent="0.25">
      <c r="B721" s="19">
        <v>42713</v>
      </c>
      <c r="C721">
        <v>46.424999999999997</v>
      </c>
      <c r="E721" s="19">
        <v>42713</v>
      </c>
      <c r="F721">
        <v>60</v>
      </c>
      <c r="H721" s="19">
        <v>42713</v>
      </c>
      <c r="I721">
        <v>11.494999999999999</v>
      </c>
      <c r="K721" s="19"/>
      <c r="N721" s="19"/>
    </row>
    <row r="722" spans="2:14" x14ac:dyDescent="0.25">
      <c r="B722" s="19">
        <v>42716</v>
      </c>
      <c r="C722">
        <v>46.99</v>
      </c>
      <c r="E722" s="19">
        <v>42716</v>
      </c>
      <c r="F722">
        <v>59.21</v>
      </c>
      <c r="H722" s="19">
        <v>42716</v>
      </c>
      <c r="I722">
        <v>11.565</v>
      </c>
      <c r="K722" s="19"/>
      <c r="N722" s="19"/>
    </row>
    <row r="723" spans="2:14" x14ac:dyDescent="0.25">
      <c r="B723" s="19">
        <v>42717</v>
      </c>
      <c r="C723">
        <v>47.43</v>
      </c>
      <c r="E723" s="19">
        <v>42717</v>
      </c>
      <c r="F723">
        <v>59.73</v>
      </c>
      <c r="H723" s="19">
        <v>42717</v>
      </c>
      <c r="I723">
        <v>11.52</v>
      </c>
      <c r="K723" s="19"/>
      <c r="N723" s="19"/>
    </row>
    <row r="724" spans="2:14" x14ac:dyDescent="0.25">
      <c r="B724" s="19">
        <v>42718</v>
      </c>
      <c r="C724">
        <v>47.11</v>
      </c>
      <c r="E724" s="19">
        <v>42718</v>
      </c>
      <c r="F724">
        <v>58.59</v>
      </c>
      <c r="H724" s="19">
        <v>42718</v>
      </c>
      <c r="I724">
        <v>11.54</v>
      </c>
      <c r="K724" s="19"/>
      <c r="N724" s="19"/>
    </row>
    <row r="725" spans="2:14" x14ac:dyDescent="0.25">
      <c r="B725" s="19">
        <v>42719</v>
      </c>
      <c r="C725">
        <v>47.494999999999997</v>
      </c>
      <c r="E725" s="19">
        <v>42719</v>
      </c>
      <c r="F725">
        <v>61.7</v>
      </c>
      <c r="H725" s="19">
        <v>42719</v>
      </c>
      <c r="I725">
        <v>11.975</v>
      </c>
      <c r="K725" s="19"/>
      <c r="N725" s="19"/>
    </row>
    <row r="726" spans="2:14" x14ac:dyDescent="0.25">
      <c r="B726" s="19">
        <v>42720</v>
      </c>
      <c r="C726">
        <v>48.21</v>
      </c>
      <c r="E726" s="19">
        <v>42720</v>
      </c>
      <c r="F726">
        <v>60.96</v>
      </c>
      <c r="H726" s="19">
        <v>42720</v>
      </c>
      <c r="I726">
        <v>11.9</v>
      </c>
      <c r="K726" s="19"/>
      <c r="N726" s="19"/>
    </row>
    <row r="727" spans="2:14" x14ac:dyDescent="0.25">
      <c r="B727" s="19">
        <v>42723</v>
      </c>
      <c r="C727">
        <v>47.895000000000003</v>
      </c>
      <c r="E727" s="19">
        <v>42723</v>
      </c>
      <c r="F727">
        <v>60.5</v>
      </c>
      <c r="H727" s="19">
        <v>42723</v>
      </c>
      <c r="I727">
        <v>11.734999999999999</v>
      </c>
      <c r="K727" s="19"/>
      <c r="N727" s="19"/>
    </row>
    <row r="728" spans="2:14" x14ac:dyDescent="0.25">
      <c r="B728" s="19">
        <v>42724</v>
      </c>
      <c r="C728">
        <v>48.27</v>
      </c>
      <c r="E728" s="19">
        <v>42724</v>
      </c>
      <c r="F728">
        <v>61.47</v>
      </c>
      <c r="H728" s="19">
        <v>42724</v>
      </c>
      <c r="I728">
        <v>11.945</v>
      </c>
      <c r="K728" s="19"/>
      <c r="N728" s="19"/>
    </row>
    <row r="729" spans="2:14" x14ac:dyDescent="0.25">
      <c r="B729" s="19">
        <v>42725</v>
      </c>
      <c r="C729">
        <v>47.594999999999999</v>
      </c>
      <c r="E729" s="19">
        <v>42725</v>
      </c>
      <c r="F729">
        <v>61.21</v>
      </c>
      <c r="H729" s="19">
        <v>42725</v>
      </c>
      <c r="I729">
        <v>11.965</v>
      </c>
      <c r="K729" s="19"/>
      <c r="N729" s="19"/>
    </row>
    <row r="730" spans="2:14" x14ac:dyDescent="0.25">
      <c r="B730" s="19">
        <v>42726</v>
      </c>
      <c r="C730">
        <v>48.19</v>
      </c>
      <c r="E730" s="19">
        <v>42726</v>
      </c>
      <c r="F730">
        <v>61.58</v>
      </c>
      <c r="H730" s="19">
        <v>42726</v>
      </c>
      <c r="I730">
        <v>12.01</v>
      </c>
      <c r="K730" s="19"/>
      <c r="N730" s="19"/>
    </row>
    <row r="731" spans="2:14" x14ac:dyDescent="0.25">
      <c r="B731" s="19">
        <v>42727</v>
      </c>
      <c r="C731">
        <v>48.36</v>
      </c>
      <c r="E731" s="19">
        <v>42727</v>
      </c>
      <c r="F731">
        <v>61.17</v>
      </c>
      <c r="H731" s="19">
        <v>42727</v>
      </c>
      <c r="I731">
        <v>11.904999999999999</v>
      </c>
      <c r="K731" s="19"/>
      <c r="N731" s="19"/>
    </row>
    <row r="732" spans="2:14" x14ac:dyDescent="0.25">
      <c r="B732" s="19">
        <v>42731</v>
      </c>
      <c r="C732">
        <v>48.375</v>
      </c>
      <c r="E732" s="19">
        <v>42731</v>
      </c>
      <c r="F732">
        <v>60.68</v>
      </c>
      <c r="H732" s="19">
        <v>42731</v>
      </c>
      <c r="I732">
        <v>11.88</v>
      </c>
      <c r="K732" s="19"/>
      <c r="N732" s="19"/>
    </row>
    <row r="733" spans="2:14" x14ac:dyDescent="0.25">
      <c r="B733" s="19">
        <v>42732</v>
      </c>
      <c r="C733">
        <v>48.72</v>
      </c>
      <c r="E733" s="19">
        <v>42732</v>
      </c>
      <c r="F733">
        <v>60.65</v>
      </c>
      <c r="H733" s="19">
        <v>42732</v>
      </c>
      <c r="I733">
        <v>11.88</v>
      </c>
      <c r="K733" s="19"/>
      <c r="N733" s="19"/>
    </row>
    <row r="734" spans="2:14" x14ac:dyDescent="0.25">
      <c r="B734" s="19">
        <v>42733</v>
      </c>
      <c r="C734">
        <v>48.634999999999998</v>
      </c>
      <c r="E734" s="19">
        <v>42733</v>
      </c>
      <c r="F734">
        <v>59.85</v>
      </c>
      <c r="H734" s="19">
        <v>42733</v>
      </c>
      <c r="I734">
        <v>11.734999999999999</v>
      </c>
      <c r="K734" s="19"/>
      <c r="N734" s="19"/>
    </row>
    <row r="735" spans="2:14" x14ac:dyDescent="0.25">
      <c r="B735" s="19">
        <v>42734</v>
      </c>
      <c r="C735">
        <v>48.72</v>
      </c>
      <c r="E735" s="19">
        <v>42734</v>
      </c>
      <c r="F735">
        <v>60.55</v>
      </c>
      <c r="H735" s="19">
        <v>42734</v>
      </c>
      <c r="I735">
        <v>11.78</v>
      </c>
      <c r="K735" s="19"/>
      <c r="N735" s="19"/>
    </row>
    <row r="736" spans="2:14" x14ac:dyDescent="0.25">
      <c r="B736" s="19">
        <v>42737</v>
      </c>
      <c r="C736">
        <v>48.8</v>
      </c>
      <c r="E736" s="19">
        <v>42737</v>
      </c>
      <c r="F736">
        <v>60.35</v>
      </c>
      <c r="H736" s="19">
        <v>42737</v>
      </c>
      <c r="I736">
        <v>11.86</v>
      </c>
      <c r="K736" s="19"/>
      <c r="N736" s="19"/>
    </row>
    <row r="737" spans="2:14" x14ac:dyDescent="0.25">
      <c r="B737" s="19">
        <v>42738</v>
      </c>
      <c r="C737">
        <v>48.93</v>
      </c>
      <c r="E737" s="19">
        <v>42738</v>
      </c>
      <c r="F737">
        <v>61.92</v>
      </c>
      <c r="H737" s="19">
        <v>42738</v>
      </c>
      <c r="I737">
        <v>12.244999999999999</v>
      </c>
      <c r="K737" s="19"/>
      <c r="N737" s="19"/>
    </row>
    <row r="738" spans="2:14" x14ac:dyDescent="0.25">
      <c r="B738" s="19">
        <v>42739</v>
      </c>
      <c r="C738">
        <v>48.905000000000001</v>
      </c>
      <c r="E738" s="19">
        <v>42739</v>
      </c>
      <c r="F738">
        <v>62.8</v>
      </c>
      <c r="H738" s="19">
        <v>42739</v>
      </c>
      <c r="I738">
        <v>12.3</v>
      </c>
      <c r="K738" s="19"/>
      <c r="N738" s="19"/>
    </row>
    <row r="739" spans="2:14" x14ac:dyDescent="0.25">
      <c r="B739" s="19">
        <v>42740</v>
      </c>
      <c r="C739">
        <v>48.93</v>
      </c>
      <c r="E739" s="19">
        <v>42740</v>
      </c>
      <c r="F739">
        <v>62.22</v>
      </c>
      <c r="H739" s="19">
        <v>42740</v>
      </c>
      <c r="I739">
        <v>12.33</v>
      </c>
      <c r="K739" s="19"/>
      <c r="N739" s="19"/>
    </row>
    <row r="740" spans="2:14" x14ac:dyDescent="0.25">
      <c r="B740" s="19">
        <v>42741</v>
      </c>
      <c r="C740">
        <v>48.77</v>
      </c>
      <c r="E740" s="19">
        <v>42741</v>
      </c>
      <c r="F740">
        <v>62.49</v>
      </c>
      <c r="H740" s="19">
        <v>42741</v>
      </c>
      <c r="I740">
        <v>12.335000000000001</v>
      </c>
      <c r="K740" s="19"/>
      <c r="N740" s="19"/>
    </row>
    <row r="741" spans="2:14" x14ac:dyDescent="0.25">
      <c r="B741" s="19">
        <v>42744</v>
      </c>
      <c r="C741">
        <v>48.085000000000001</v>
      </c>
      <c r="E741" s="19">
        <v>42744</v>
      </c>
      <c r="F741">
        <v>61.19</v>
      </c>
      <c r="H741" s="19">
        <v>42744</v>
      </c>
      <c r="I741">
        <v>12.125</v>
      </c>
      <c r="K741" s="19"/>
      <c r="N741" s="19"/>
    </row>
    <row r="742" spans="2:14" x14ac:dyDescent="0.25">
      <c r="B742" s="19">
        <v>42745</v>
      </c>
      <c r="C742">
        <v>48.23</v>
      </c>
      <c r="E742" s="19">
        <v>42745</v>
      </c>
      <c r="F742">
        <v>60.85</v>
      </c>
      <c r="H742" s="19">
        <v>42745</v>
      </c>
      <c r="I742">
        <v>12.085000000000001</v>
      </c>
      <c r="K742" s="19"/>
      <c r="N742" s="19"/>
    </row>
    <row r="743" spans="2:14" x14ac:dyDescent="0.25">
      <c r="B743" s="19">
        <v>42746</v>
      </c>
      <c r="C743">
        <v>48.5</v>
      </c>
      <c r="E743" s="19">
        <v>42746</v>
      </c>
      <c r="F743">
        <v>60.62</v>
      </c>
      <c r="H743" s="19">
        <v>42746</v>
      </c>
      <c r="I743">
        <v>12.065</v>
      </c>
      <c r="K743" s="19"/>
      <c r="N743" s="19"/>
    </row>
    <row r="744" spans="2:14" x14ac:dyDescent="0.25">
      <c r="B744" s="19">
        <v>42747</v>
      </c>
      <c r="C744">
        <v>48.695</v>
      </c>
      <c r="E744" s="19">
        <v>42747</v>
      </c>
      <c r="F744">
        <v>60.55</v>
      </c>
      <c r="H744" s="19">
        <v>42747</v>
      </c>
      <c r="I744">
        <v>12.12</v>
      </c>
      <c r="K744" s="19"/>
      <c r="N744" s="19"/>
    </row>
    <row r="745" spans="2:14" x14ac:dyDescent="0.25">
      <c r="B745" s="19">
        <v>42748</v>
      </c>
      <c r="C745">
        <v>48.844999999999999</v>
      </c>
      <c r="E745" s="19">
        <v>42748</v>
      </c>
      <c r="F745">
        <v>62.16</v>
      </c>
      <c r="H745" s="19">
        <v>42748</v>
      </c>
      <c r="I745">
        <v>12.59</v>
      </c>
      <c r="K745" s="19"/>
      <c r="N745" s="19"/>
    </row>
    <row r="746" spans="2:14" x14ac:dyDescent="0.25">
      <c r="B746" s="19">
        <v>42751</v>
      </c>
      <c r="C746">
        <v>48.46</v>
      </c>
      <c r="E746" s="19">
        <v>42751</v>
      </c>
      <c r="F746">
        <v>61.21</v>
      </c>
      <c r="H746" s="19">
        <v>42751</v>
      </c>
      <c r="I746">
        <v>12.45</v>
      </c>
      <c r="K746" s="19"/>
      <c r="N746" s="19"/>
    </row>
    <row r="747" spans="2:14" x14ac:dyDescent="0.25">
      <c r="B747" s="19">
        <v>42752</v>
      </c>
      <c r="C747">
        <v>48.195</v>
      </c>
      <c r="E747" s="19">
        <v>42752</v>
      </c>
      <c r="F747">
        <v>60.56</v>
      </c>
      <c r="H747" s="19">
        <v>42752</v>
      </c>
      <c r="I747">
        <v>12.44</v>
      </c>
      <c r="K747" s="19"/>
      <c r="N747" s="19"/>
    </row>
    <row r="748" spans="2:14" x14ac:dyDescent="0.25">
      <c r="B748" s="19">
        <v>42753</v>
      </c>
      <c r="C748">
        <v>48.255000000000003</v>
      </c>
      <c r="E748" s="19">
        <v>42753</v>
      </c>
      <c r="F748">
        <v>59.69</v>
      </c>
      <c r="H748" s="19">
        <v>42753</v>
      </c>
      <c r="I748">
        <v>12.35</v>
      </c>
      <c r="K748" s="19"/>
      <c r="N748" s="19"/>
    </row>
    <row r="749" spans="2:14" x14ac:dyDescent="0.25">
      <c r="B749" s="19">
        <v>42754</v>
      </c>
      <c r="C749">
        <v>47.615000000000002</v>
      </c>
      <c r="E749" s="19">
        <v>42754</v>
      </c>
      <c r="F749">
        <v>59.76</v>
      </c>
      <c r="H749" s="19">
        <v>42754</v>
      </c>
      <c r="I749">
        <v>12.385</v>
      </c>
      <c r="K749" s="19"/>
      <c r="N749" s="19"/>
    </row>
    <row r="750" spans="2:14" x14ac:dyDescent="0.25">
      <c r="B750" s="19">
        <v>42755</v>
      </c>
      <c r="C750">
        <v>48.115000000000002</v>
      </c>
      <c r="E750" s="19">
        <v>42755</v>
      </c>
      <c r="F750">
        <v>60.06</v>
      </c>
      <c r="H750" s="19">
        <v>42755</v>
      </c>
      <c r="I750">
        <v>12.39</v>
      </c>
      <c r="K750" s="19"/>
      <c r="N750" s="19"/>
    </row>
    <row r="751" spans="2:14" x14ac:dyDescent="0.25">
      <c r="B751" s="19">
        <v>42758</v>
      </c>
      <c r="C751">
        <v>47.484999999999999</v>
      </c>
      <c r="E751" s="19">
        <v>42758</v>
      </c>
      <c r="F751">
        <v>59.18</v>
      </c>
      <c r="H751" s="19">
        <v>42758</v>
      </c>
      <c r="I751">
        <v>12.055</v>
      </c>
      <c r="K751" s="19"/>
      <c r="N751" s="19"/>
    </row>
    <row r="752" spans="2:14" x14ac:dyDescent="0.25">
      <c r="B752" s="19">
        <v>42759</v>
      </c>
      <c r="C752">
        <v>47.64</v>
      </c>
      <c r="E752" s="19">
        <v>42759</v>
      </c>
      <c r="F752">
        <v>59.9</v>
      </c>
      <c r="H752" s="19">
        <v>42759</v>
      </c>
      <c r="I752">
        <v>12.24</v>
      </c>
      <c r="K752" s="19"/>
      <c r="N752" s="19"/>
    </row>
    <row r="753" spans="2:14" x14ac:dyDescent="0.25">
      <c r="B753" s="19">
        <v>42760</v>
      </c>
      <c r="C753">
        <v>48.015000000000001</v>
      </c>
      <c r="E753" s="19">
        <v>42760</v>
      </c>
      <c r="F753">
        <v>62.39</v>
      </c>
      <c r="H753" s="19">
        <v>42760</v>
      </c>
      <c r="I753">
        <v>12.505000000000001</v>
      </c>
      <c r="K753" s="19"/>
      <c r="N753" s="19"/>
    </row>
    <row r="754" spans="2:14" x14ac:dyDescent="0.25">
      <c r="B754" s="19">
        <v>42761</v>
      </c>
      <c r="C754">
        <v>47.8</v>
      </c>
      <c r="E754" s="19">
        <v>42761</v>
      </c>
      <c r="F754">
        <v>61.64</v>
      </c>
      <c r="H754" s="19">
        <v>42761</v>
      </c>
      <c r="I754">
        <v>12.545</v>
      </c>
      <c r="K754" s="19"/>
      <c r="N754" s="19"/>
    </row>
    <row r="755" spans="2:14" x14ac:dyDescent="0.25">
      <c r="B755" s="19">
        <v>42762</v>
      </c>
      <c r="C755">
        <v>47.225000000000001</v>
      </c>
      <c r="E755" s="19">
        <v>42762</v>
      </c>
      <c r="F755">
        <v>61.45</v>
      </c>
      <c r="H755" s="19">
        <v>42762</v>
      </c>
      <c r="I755">
        <v>12.475</v>
      </c>
      <c r="K755" s="19"/>
      <c r="N755" s="19"/>
    </row>
    <row r="756" spans="2:14" x14ac:dyDescent="0.25">
      <c r="B756" s="19">
        <v>42765</v>
      </c>
      <c r="C756">
        <v>46.704999999999998</v>
      </c>
      <c r="E756" s="19">
        <v>42765</v>
      </c>
      <c r="F756">
        <v>60.28</v>
      </c>
      <c r="H756" s="19">
        <v>42765</v>
      </c>
      <c r="I756">
        <v>12.285</v>
      </c>
      <c r="K756" s="19"/>
      <c r="N756" s="19"/>
    </row>
    <row r="757" spans="2:14" x14ac:dyDescent="0.25">
      <c r="B757" s="19">
        <v>42766</v>
      </c>
      <c r="C757">
        <v>46.66</v>
      </c>
      <c r="E757" s="19">
        <v>42766</v>
      </c>
      <c r="F757">
        <v>59.18</v>
      </c>
      <c r="H757" s="19">
        <v>42766</v>
      </c>
      <c r="I757">
        <v>12.265000000000001</v>
      </c>
      <c r="K757" s="19"/>
      <c r="N757" s="19"/>
    </row>
    <row r="758" spans="2:14" x14ac:dyDescent="0.25">
      <c r="B758" s="19">
        <v>42767</v>
      </c>
      <c r="C758">
        <v>46.72</v>
      </c>
      <c r="E758" s="19">
        <v>42767</v>
      </c>
      <c r="F758">
        <v>60.63</v>
      </c>
      <c r="H758" s="19">
        <v>42767</v>
      </c>
      <c r="I758">
        <v>12.33</v>
      </c>
      <c r="K758" s="19"/>
      <c r="N758" s="19"/>
    </row>
    <row r="759" spans="2:14" x14ac:dyDescent="0.25">
      <c r="B759" s="19">
        <v>42768</v>
      </c>
      <c r="C759">
        <v>46.494999999999997</v>
      </c>
      <c r="E759" s="19">
        <v>42768</v>
      </c>
      <c r="F759">
        <v>60.26</v>
      </c>
      <c r="H759" s="19">
        <v>42768</v>
      </c>
      <c r="I759">
        <v>12.15</v>
      </c>
      <c r="K759" s="19"/>
      <c r="N759" s="19"/>
    </row>
    <row r="760" spans="2:14" x14ac:dyDescent="0.25">
      <c r="B760" s="19">
        <v>42769</v>
      </c>
      <c r="C760">
        <v>47.15</v>
      </c>
      <c r="E760" s="19">
        <v>42769</v>
      </c>
      <c r="F760">
        <v>61.14</v>
      </c>
      <c r="H760" s="19">
        <v>42769</v>
      </c>
      <c r="I760">
        <v>12.275</v>
      </c>
      <c r="K760" s="19"/>
      <c r="N760" s="19"/>
    </row>
    <row r="761" spans="2:14" x14ac:dyDescent="0.25">
      <c r="B761" s="19">
        <v>42772</v>
      </c>
      <c r="C761">
        <v>47.104999999999997</v>
      </c>
      <c r="E761" s="19">
        <v>42772</v>
      </c>
      <c r="F761">
        <v>60.01</v>
      </c>
      <c r="H761" s="19">
        <v>42772</v>
      </c>
      <c r="I761">
        <v>11.97</v>
      </c>
      <c r="K761" s="19"/>
      <c r="N761" s="19"/>
    </row>
    <row r="762" spans="2:14" x14ac:dyDescent="0.25">
      <c r="B762" s="19">
        <v>42773</v>
      </c>
      <c r="C762">
        <v>46.625</v>
      </c>
      <c r="E762" s="19">
        <v>42773</v>
      </c>
      <c r="F762">
        <v>57.15</v>
      </c>
      <c r="H762" s="19">
        <v>42773</v>
      </c>
      <c r="I762">
        <v>11.68</v>
      </c>
      <c r="K762" s="19"/>
      <c r="N762" s="19"/>
    </row>
    <row r="763" spans="2:14" x14ac:dyDescent="0.25">
      <c r="B763" s="19">
        <v>42774</v>
      </c>
      <c r="C763">
        <v>46.83</v>
      </c>
      <c r="E763" s="19">
        <v>42774</v>
      </c>
      <c r="F763">
        <v>56.06</v>
      </c>
      <c r="H763" s="19">
        <v>42774</v>
      </c>
      <c r="I763">
        <v>11.414999999999999</v>
      </c>
      <c r="K763" s="19"/>
      <c r="N763" s="19"/>
    </row>
    <row r="764" spans="2:14" x14ac:dyDescent="0.25">
      <c r="B764" s="19">
        <v>42775</v>
      </c>
      <c r="C764">
        <v>47.424999999999997</v>
      </c>
      <c r="E764" s="19">
        <v>42775</v>
      </c>
      <c r="F764">
        <v>56.69</v>
      </c>
      <c r="H764" s="19">
        <v>42775</v>
      </c>
      <c r="I764">
        <v>11.46</v>
      </c>
      <c r="K764" s="19"/>
      <c r="N764" s="19"/>
    </row>
    <row r="765" spans="2:14" x14ac:dyDescent="0.25">
      <c r="B765" s="19">
        <v>42776</v>
      </c>
      <c r="C765">
        <v>47.924999999999997</v>
      </c>
      <c r="E765" s="19">
        <v>42776</v>
      </c>
      <c r="F765">
        <v>55.7</v>
      </c>
      <c r="H765" s="19">
        <v>42776</v>
      </c>
      <c r="I765">
        <v>11.4</v>
      </c>
      <c r="K765" s="19"/>
      <c r="N765" s="19"/>
    </row>
    <row r="766" spans="2:14" x14ac:dyDescent="0.25">
      <c r="B766" s="19">
        <v>42779</v>
      </c>
      <c r="C766">
        <v>48.075000000000003</v>
      </c>
      <c r="E766" s="19">
        <v>42779</v>
      </c>
      <c r="F766">
        <v>56.35</v>
      </c>
      <c r="H766" s="19">
        <v>42779</v>
      </c>
      <c r="I766">
        <v>11.58</v>
      </c>
      <c r="K766" s="19"/>
      <c r="N766" s="19"/>
    </row>
    <row r="767" spans="2:14" x14ac:dyDescent="0.25">
      <c r="B767" s="19">
        <v>42780</v>
      </c>
      <c r="C767">
        <v>47.945</v>
      </c>
      <c r="E767" s="19">
        <v>42780</v>
      </c>
      <c r="F767">
        <v>56.78</v>
      </c>
      <c r="H767" s="19">
        <v>42780</v>
      </c>
      <c r="I767">
        <v>11.755000000000001</v>
      </c>
      <c r="K767" s="19"/>
      <c r="N767" s="19"/>
    </row>
    <row r="768" spans="2:14" x14ac:dyDescent="0.25">
      <c r="B768" s="19">
        <v>42781</v>
      </c>
      <c r="C768">
        <v>47.954999999999998</v>
      </c>
      <c r="E768" s="19">
        <v>42781</v>
      </c>
      <c r="F768">
        <v>57.49</v>
      </c>
      <c r="H768" s="19">
        <v>42781</v>
      </c>
      <c r="I768">
        <v>12.315</v>
      </c>
      <c r="K768" s="19"/>
      <c r="N768" s="19"/>
    </row>
    <row r="769" spans="2:14" x14ac:dyDescent="0.25">
      <c r="B769" s="19">
        <v>42782</v>
      </c>
      <c r="C769">
        <v>47.82</v>
      </c>
      <c r="E769" s="19">
        <v>42782</v>
      </c>
      <c r="F769">
        <v>57.02</v>
      </c>
      <c r="H769" s="19">
        <v>42782</v>
      </c>
      <c r="I769">
        <v>12.145</v>
      </c>
      <c r="K769" s="19"/>
      <c r="N769" s="19"/>
    </row>
    <row r="770" spans="2:14" x14ac:dyDescent="0.25">
      <c r="B770" s="19">
        <v>42783</v>
      </c>
      <c r="C770">
        <v>47.44</v>
      </c>
      <c r="E770" s="19">
        <v>42783</v>
      </c>
      <c r="F770">
        <v>55.75</v>
      </c>
      <c r="H770" s="19">
        <v>42783</v>
      </c>
      <c r="I770">
        <v>11.82</v>
      </c>
      <c r="K770" s="19"/>
      <c r="N770" s="19"/>
    </row>
    <row r="771" spans="2:14" x14ac:dyDescent="0.25">
      <c r="B771" s="19">
        <v>42786</v>
      </c>
      <c r="C771">
        <v>47.575000000000003</v>
      </c>
      <c r="E771" s="19">
        <v>42786</v>
      </c>
      <c r="F771">
        <v>55.63</v>
      </c>
      <c r="H771" s="19">
        <v>42786</v>
      </c>
      <c r="I771">
        <v>11.605</v>
      </c>
      <c r="K771" s="19"/>
      <c r="N771" s="19"/>
    </row>
    <row r="772" spans="2:14" x14ac:dyDescent="0.25">
      <c r="B772" s="19">
        <v>42787</v>
      </c>
      <c r="C772">
        <v>48.4</v>
      </c>
      <c r="E772" s="19">
        <v>42787</v>
      </c>
      <c r="F772">
        <v>55.79</v>
      </c>
      <c r="H772" s="19">
        <v>42787</v>
      </c>
      <c r="I772">
        <v>11.574999999999999</v>
      </c>
      <c r="K772" s="19"/>
      <c r="N772" s="19"/>
    </row>
    <row r="773" spans="2:14" x14ac:dyDescent="0.25">
      <c r="B773" s="19">
        <v>42788</v>
      </c>
      <c r="C773">
        <v>48.305</v>
      </c>
      <c r="E773" s="19">
        <v>42788</v>
      </c>
      <c r="F773">
        <v>55.8</v>
      </c>
      <c r="H773" s="19">
        <v>42788</v>
      </c>
      <c r="I773">
        <v>11.62</v>
      </c>
      <c r="K773" s="19"/>
      <c r="N773" s="19"/>
    </row>
    <row r="774" spans="2:14" x14ac:dyDescent="0.25">
      <c r="B774" s="19">
        <v>42789</v>
      </c>
      <c r="C774">
        <v>48.29</v>
      </c>
      <c r="E774" s="19">
        <v>42789</v>
      </c>
      <c r="F774">
        <v>55.62</v>
      </c>
      <c r="H774" s="19">
        <v>42789</v>
      </c>
      <c r="I774">
        <v>11.39</v>
      </c>
      <c r="K774" s="19"/>
      <c r="N774" s="19"/>
    </row>
    <row r="775" spans="2:14" x14ac:dyDescent="0.25">
      <c r="B775" s="19">
        <v>42790</v>
      </c>
      <c r="C775">
        <v>47.734999999999999</v>
      </c>
      <c r="E775" s="19">
        <v>42790</v>
      </c>
      <c r="F775">
        <v>54.68</v>
      </c>
      <c r="H775" s="19">
        <v>42790</v>
      </c>
      <c r="I775">
        <v>11.215</v>
      </c>
      <c r="K775" s="19"/>
      <c r="N775" s="19"/>
    </row>
    <row r="776" spans="2:14" x14ac:dyDescent="0.25">
      <c r="B776" s="19">
        <v>42793</v>
      </c>
      <c r="C776">
        <v>47.24</v>
      </c>
      <c r="E776" s="19">
        <v>42793</v>
      </c>
      <c r="F776">
        <v>54.74</v>
      </c>
      <c r="H776" s="19">
        <v>42793</v>
      </c>
      <c r="I776">
        <v>11.29</v>
      </c>
      <c r="K776" s="19"/>
      <c r="N776" s="19"/>
    </row>
    <row r="777" spans="2:14" x14ac:dyDescent="0.25">
      <c r="B777" s="19">
        <v>42794</v>
      </c>
      <c r="C777">
        <v>47.05</v>
      </c>
      <c r="E777" s="19">
        <v>42794</v>
      </c>
      <c r="F777">
        <v>55.13</v>
      </c>
      <c r="H777" s="19">
        <v>42794</v>
      </c>
      <c r="I777">
        <v>11.395</v>
      </c>
      <c r="K777" s="19"/>
      <c r="N777" s="19"/>
    </row>
    <row r="778" spans="2:14" x14ac:dyDescent="0.25">
      <c r="B778" s="19">
        <v>42795</v>
      </c>
      <c r="C778">
        <v>47.75</v>
      </c>
      <c r="E778" s="19">
        <v>42795</v>
      </c>
      <c r="F778">
        <v>57.59</v>
      </c>
      <c r="H778" s="19">
        <v>42795</v>
      </c>
      <c r="I778">
        <v>11.81</v>
      </c>
      <c r="K778" s="19"/>
      <c r="N778" s="19"/>
    </row>
    <row r="779" spans="2:14" x14ac:dyDescent="0.25">
      <c r="B779" s="19">
        <v>42796</v>
      </c>
      <c r="C779">
        <v>47.795000000000002</v>
      </c>
      <c r="E779" s="19">
        <v>42796</v>
      </c>
      <c r="F779">
        <v>57.67</v>
      </c>
      <c r="H779" s="19">
        <v>42796</v>
      </c>
      <c r="I779">
        <v>11.86</v>
      </c>
      <c r="K779" s="19"/>
      <c r="N779" s="19"/>
    </row>
    <row r="780" spans="2:14" x14ac:dyDescent="0.25">
      <c r="B780" s="19">
        <v>42797</v>
      </c>
      <c r="C780">
        <v>48.075000000000003</v>
      </c>
      <c r="E780" s="19">
        <v>42797</v>
      </c>
      <c r="F780">
        <v>59.31</v>
      </c>
      <c r="H780" s="19">
        <v>42797</v>
      </c>
      <c r="I780">
        <v>12.195</v>
      </c>
      <c r="K780" s="19"/>
      <c r="N780" s="19"/>
    </row>
    <row r="781" spans="2:14" x14ac:dyDescent="0.25">
      <c r="B781" s="19">
        <v>42800</v>
      </c>
      <c r="C781">
        <v>48.03</v>
      </c>
      <c r="E781" s="19">
        <v>42800</v>
      </c>
      <c r="F781">
        <v>58.7</v>
      </c>
      <c r="H781" s="19">
        <v>42800</v>
      </c>
      <c r="I781">
        <v>12.095000000000001</v>
      </c>
      <c r="K781" s="19"/>
      <c r="N781" s="19"/>
    </row>
    <row r="782" spans="2:14" x14ac:dyDescent="0.25">
      <c r="B782" s="19">
        <v>42801</v>
      </c>
      <c r="C782">
        <v>47.704999999999998</v>
      </c>
      <c r="E782" s="19">
        <v>42801</v>
      </c>
      <c r="F782">
        <v>58.84</v>
      </c>
      <c r="H782" s="19">
        <v>42801</v>
      </c>
      <c r="I782">
        <v>12.065</v>
      </c>
      <c r="K782" s="19"/>
      <c r="N782" s="19"/>
    </row>
    <row r="783" spans="2:14" x14ac:dyDescent="0.25">
      <c r="B783" s="19">
        <v>42802</v>
      </c>
      <c r="C783">
        <v>47.164999999999999</v>
      </c>
      <c r="E783" s="19">
        <v>42802</v>
      </c>
      <c r="F783">
        <v>59.35</v>
      </c>
      <c r="H783" s="19">
        <v>42802</v>
      </c>
      <c r="I783">
        <v>12.065</v>
      </c>
      <c r="K783" s="19"/>
      <c r="N783" s="19"/>
    </row>
    <row r="784" spans="2:14" x14ac:dyDescent="0.25">
      <c r="B784" s="19">
        <v>42803</v>
      </c>
      <c r="C784">
        <v>46.79</v>
      </c>
      <c r="E784" s="19">
        <v>42803</v>
      </c>
      <c r="F784">
        <v>60.79</v>
      </c>
      <c r="H784" s="19">
        <v>42803</v>
      </c>
      <c r="I784">
        <v>12.395</v>
      </c>
      <c r="K784" s="19"/>
      <c r="N784" s="19"/>
    </row>
    <row r="785" spans="2:14" x14ac:dyDescent="0.25">
      <c r="B785" s="19">
        <v>42804</v>
      </c>
      <c r="C785">
        <v>47.265000000000001</v>
      </c>
      <c r="E785" s="19">
        <v>42804</v>
      </c>
      <c r="F785">
        <v>61.86</v>
      </c>
      <c r="H785" s="19">
        <v>42804</v>
      </c>
      <c r="I785">
        <v>12.645</v>
      </c>
      <c r="K785" s="19"/>
      <c r="N785" s="19"/>
    </row>
    <row r="786" spans="2:14" x14ac:dyDescent="0.25">
      <c r="B786" s="19">
        <v>42807</v>
      </c>
      <c r="C786">
        <v>47.1</v>
      </c>
      <c r="E786" s="19">
        <v>42807</v>
      </c>
      <c r="F786">
        <v>61.18</v>
      </c>
      <c r="H786" s="19">
        <v>42807</v>
      </c>
      <c r="I786">
        <v>12.515000000000001</v>
      </c>
      <c r="K786" s="19"/>
      <c r="N786" s="19"/>
    </row>
    <row r="787" spans="2:14" x14ac:dyDescent="0.25">
      <c r="B787" s="19">
        <v>42808</v>
      </c>
      <c r="C787">
        <v>46.3</v>
      </c>
      <c r="E787" s="19">
        <v>42808</v>
      </c>
      <c r="F787">
        <v>59.85</v>
      </c>
      <c r="H787" s="19">
        <v>42808</v>
      </c>
      <c r="I787">
        <v>12.335000000000001</v>
      </c>
      <c r="K787" s="19"/>
      <c r="N787" s="19"/>
    </row>
    <row r="788" spans="2:14" x14ac:dyDescent="0.25">
      <c r="B788" s="19">
        <v>42809</v>
      </c>
      <c r="C788">
        <v>46.98</v>
      </c>
      <c r="E788" s="19">
        <v>42809</v>
      </c>
      <c r="F788">
        <v>60.09</v>
      </c>
      <c r="H788" s="19">
        <v>42809</v>
      </c>
      <c r="I788">
        <v>12.37</v>
      </c>
      <c r="K788" s="19"/>
      <c r="N788" s="19"/>
    </row>
    <row r="789" spans="2:14" x14ac:dyDescent="0.25">
      <c r="B789" s="19">
        <v>42810</v>
      </c>
      <c r="C789">
        <v>47.13</v>
      </c>
      <c r="E789" s="19">
        <v>42810</v>
      </c>
      <c r="F789">
        <v>60.69</v>
      </c>
      <c r="H789" s="19">
        <v>42810</v>
      </c>
      <c r="I789">
        <v>12.35</v>
      </c>
      <c r="K789" s="19"/>
      <c r="N789" s="19"/>
    </row>
    <row r="790" spans="2:14" x14ac:dyDescent="0.25">
      <c r="B790" s="19">
        <v>42811</v>
      </c>
      <c r="C790">
        <v>47.36</v>
      </c>
      <c r="E790" s="19">
        <v>42811</v>
      </c>
      <c r="F790">
        <v>60.28</v>
      </c>
      <c r="H790" s="19">
        <v>42811</v>
      </c>
      <c r="I790">
        <v>12.305</v>
      </c>
      <c r="K790" s="19"/>
      <c r="N790" s="19"/>
    </row>
    <row r="791" spans="2:14" x14ac:dyDescent="0.25">
      <c r="B791" s="19">
        <v>42814</v>
      </c>
      <c r="C791">
        <v>46.05</v>
      </c>
      <c r="E791" s="19">
        <v>42814</v>
      </c>
      <c r="F791">
        <v>59.65</v>
      </c>
      <c r="H791" s="19">
        <v>42814</v>
      </c>
      <c r="I791">
        <v>12.244999999999999</v>
      </c>
      <c r="K791" s="19"/>
      <c r="N791" s="19"/>
    </row>
    <row r="792" spans="2:14" x14ac:dyDescent="0.25">
      <c r="B792" s="19">
        <v>42815</v>
      </c>
      <c r="C792">
        <v>46.32</v>
      </c>
      <c r="E792" s="19">
        <v>42815</v>
      </c>
      <c r="F792">
        <v>60.26</v>
      </c>
      <c r="H792" s="19">
        <v>42815</v>
      </c>
      <c r="I792">
        <v>12.28</v>
      </c>
      <c r="K792" s="19"/>
      <c r="N792" s="19"/>
    </row>
    <row r="793" spans="2:14" x14ac:dyDescent="0.25">
      <c r="B793" s="19">
        <v>42816</v>
      </c>
      <c r="C793">
        <v>46.24</v>
      </c>
      <c r="E793" s="19">
        <v>42816</v>
      </c>
      <c r="F793">
        <v>60.29</v>
      </c>
      <c r="H793" s="19">
        <v>42816</v>
      </c>
      <c r="I793">
        <v>12.2</v>
      </c>
      <c r="K793" s="19"/>
      <c r="N793" s="19"/>
    </row>
    <row r="794" spans="2:14" x14ac:dyDescent="0.25">
      <c r="B794" s="19">
        <v>42817</v>
      </c>
      <c r="C794">
        <v>46.5</v>
      </c>
      <c r="E794" s="19">
        <v>42817</v>
      </c>
      <c r="F794">
        <v>61.1</v>
      </c>
      <c r="H794" s="19">
        <v>42817</v>
      </c>
      <c r="I794">
        <v>12.355</v>
      </c>
      <c r="K794" s="19"/>
      <c r="N794" s="19"/>
    </row>
    <row r="795" spans="2:14" x14ac:dyDescent="0.25">
      <c r="B795" s="19">
        <v>42818</v>
      </c>
      <c r="C795">
        <v>46.21</v>
      </c>
      <c r="E795" s="19">
        <v>42818</v>
      </c>
      <c r="F795">
        <v>60.46</v>
      </c>
      <c r="H795" s="19">
        <v>42818</v>
      </c>
      <c r="I795">
        <v>12.28</v>
      </c>
      <c r="K795" s="19"/>
      <c r="N795" s="19"/>
    </row>
    <row r="796" spans="2:14" x14ac:dyDescent="0.25">
      <c r="B796" s="19">
        <v>42821</v>
      </c>
      <c r="C796">
        <v>46.125</v>
      </c>
      <c r="E796" s="19">
        <v>42821</v>
      </c>
      <c r="F796">
        <v>60.36</v>
      </c>
      <c r="H796" s="19">
        <v>42821</v>
      </c>
      <c r="I796">
        <v>12.244999999999999</v>
      </c>
      <c r="K796" s="19"/>
      <c r="N796" s="19"/>
    </row>
    <row r="797" spans="2:14" x14ac:dyDescent="0.25">
      <c r="B797" s="19">
        <v>42822</v>
      </c>
      <c r="C797">
        <v>46.414999999999999</v>
      </c>
      <c r="E797" s="19">
        <v>42822</v>
      </c>
      <c r="F797">
        <v>61.92</v>
      </c>
      <c r="H797" s="19">
        <v>42822</v>
      </c>
      <c r="I797">
        <v>12.71</v>
      </c>
      <c r="K797" s="19"/>
      <c r="N797" s="19"/>
    </row>
    <row r="798" spans="2:14" x14ac:dyDescent="0.25">
      <c r="B798" s="19">
        <v>42823</v>
      </c>
      <c r="C798">
        <v>46.615000000000002</v>
      </c>
      <c r="E798" s="19">
        <v>42823</v>
      </c>
      <c r="F798">
        <v>62.04</v>
      </c>
      <c r="H798" s="19">
        <v>42823</v>
      </c>
      <c r="I798">
        <v>12.64</v>
      </c>
      <c r="K798" s="19"/>
      <c r="N798" s="19"/>
    </row>
    <row r="799" spans="2:14" x14ac:dyDescent="0.25">
      <c r="B799" s="19">
        <v>42824</v>
      </c>
      <c r="C799">
        <v>47.075000000000003</v>
      </c>
      <c r="E799" s="19">
        <v>42824</v>
      </c>
      <c r="F799">
        <v>61.8</v>
      </c>
      <c r="H799" s="19">
        <v>42824</v>
      </c>
      <c r="I799">
        <v>12.64</v>
      </c>
      <c r="K799" s="19"/>
      <c r="N799" s="19"/>
    </row>
    <row r="800" spans="2:14" x14ac:dyDescent="0.25">
      <c r="B800" s="19">
        <v>42825</v>
      </c>
      <c r="C800">
        <v>47.414999999999999</v>
      </c>
      <c r="E800" s="19">
        <v>42825</v>
      </c>
      <c r="F800">
        <v>62.43</v>
      </c>
      <c r="H800" s="19">
        <v>42825</v>
      </c>
      <c r="I800">
        <v>12.7</v>
      </c>
      <c r="K800" s="19"/>
      <c r="N800" s="19"/>
    </row>
    <row r="801" spans="2:14" x14ac:dyDescent="0.25">
      <c r="B801" s="19">
        <v>42828</v>
      </c>
      <c r="C801">
        <v>46.965000000000003</v>
      </c>
      <c r="E801" s="19">
        <v>42828</v>
      </c>
      <c r="F801">
        <v>61.22</v>
      </c>
      <c r="H801" s="19">
        <v>42828</v>
      </c>
      <c r="I801">
        <v>12.49</v>
      </c>
      <c r="K801" s="19"/>
      <c r="N801" s="19"/>
    </row>
    <row r="802" spans="2:14" x14ac:dyDescent="0.25">
      <c r="B802" s="19">
        <v>42829</v>
      </c>
      <c r="C802">
        <v>47.75</v>
      </c>
      <c r="E802" s="19">
        <v>42829</v>
      </c>
      <c r="F802">
        <v>60.71</v>
      </c>
      <c r="H802" s="19">
        <v>42829</v>
      </c>
      <c r="I802">
        <v>12.445</v>
      </c>
      <c r="K802" s="19"/>
      <c r="N802" s="19"/>
    </row>
    <row r="803" spans="2:14" x14ac:dyDescent="0.25">
      <c r="B803" s="19">
        <v>42830</v>
      </c>
      <c r="C803">
        <v>48</v>
      </c>
      <c r="E803" s="19">
        <v>42830</v>
      </c>
      <c r="F803">
        <v>60.1</v>
      </c>
      <c r="H803" s="19">
        <v>42830</v>
      </c>
      <c r="I803">
        <v>12.555</v>
      </c>
      <c r="K803" s="19"/>
      <c r="N803" s="19"/>
    </row>
    <row r="804" spans="2:14" x14ac:dyDescent="0.25">
      <c r="B804" s="19">
        <v>42831</v>
      </c>
      <c r="C804">
        <v>48.53</v>
      </c>
      <c r="E804" s="19">
        <v>42831</v>
      </c>
      <c r="F804">
        <v>60.75</v>
      </c>
      <c r="H804" s="19">
        <v>42831</v>
      </c>
      <c r="I804">
        <v>12.52</v>
      </c>
      <c r="K804" s="19"/>
      <c r="N804" s="19"/>
    </row>
    <row r="805" spans="2:14" x14ac:dyDescent="0.25">
      <c r="B805" s="19">
        <v>42832</v>
      </c>
      <c r="C805">
        <v>49</v>
      </c>
      <c r="E805" s="19">
        <v>42832</v>
      </c>
      <c r="F805">
        <v>60.9</v>
      </c>
      <c r="H805" s="19">
        <v>42832</v>
      </c>
      <c r="I805">
        <v>12.57</v>
      </c>
      <c r="K805" s="19"/>
      <c r="N805" s="19"/>
    </row>
    <row r="806" spans="2:14" x14ac:dyDescent="0.25">
      <c r="B806" s="19">
        <v>42835</v>
      </c>
      <c r="C806">
        <v>48.63</v>
      </c>
      <c r="E806" s="19">
        <v>42835</v>
      </c>
      <c r="F806">
        <v>60</v>
      </c>
      <c r="H806" s="19">
        <v>42835</v>
      </c>
      <c r="I806">
        <v>12.385</v>
      </c>
      <c r="K806" s="19"/>
      <c r="N806" s="19"/>
    </row>
    <row r="807" spans="2:14" x14ac:dyDescent="0.25">
      <c r="B807" s="19">
        <v>42836</v>
      </c>
      <c r="C807">
        <v>48.73</v>
      </c>
      <c r="E807" s="19">
        <v>42836</v>
      </c>
      <c r="F807">
        <v>59.39</v>
      </c>
      <c r="H807" s="19">
        <v>42836</v>
      </c>
      <c r="I807">
        <v>12.24</v>
      </c>
      <c r="K807" s="19"/>
      <c r="N807" s="19"/>
    </row>
    <row r="808" spans="2:14" x14ac:dyDescent="0.25">
      <c r="B808" s="19">
        <v>42837</v>
      </c>
      <c r="C808">
        <v>48.64</v>
      </c>
      <c r="E808" s="19">
        <v>42837</v>
      </c>
      <c r="F808">
        <v>59.1</v>
      </c>
      <c r="H808" s="19">
        <v>42837</v>
      </c>
      <c r="I808">
        <v>12.11</v>
      </c>
      <c r="K808" s="19"/>
      <c r="N808" s="19"/>
    </row>
    <row r="809" spans="2:14" x14ac:dyDescent="0.25">
      <c r="B809" s="19">
        <v>42838</v>
      </c>
      <c r="C809">
        <v>48.03</v>
      </c>
      <c r="E809" s="19">
        <v>42838</v>
      </c>
      <c r="F809">
        <v>58.3</v>
      </c>
      <c r="H809" s="19">
        <v>42838</v>
      </c>
      <c r="I809">
        <v>11.904999999999999</v>
      </c>
      <c r="K809" s="19"/>
      <c r="N809" s="19"/>
    </row>
    <row r="810" spans="2:14" x14ac:dyDescent="0.25">
      <c r="B810" s="19">
        <v>42843</v>
      </c>
      <c r="C810">
        <v>47.115000000000002</v>
      </c>
      <c r="E810" s="19">
        <v>42843</v>
      </c>
      <c r="F810">
        <v>57.32</v>
      </c>
      <c r="H810" s="19">
        <v>42843</v>
      </c>
      <c r="I810">
        <v>11.685</v>
      </c>
      <c r="K810" s="19"/>
      <c r="N810" s="19"/>
    </row>
    <row r="811" spans="2:14" x14ac:dyDescent="0.25">
      <c r="B811" s="19">
        <v>42844</v>
      </c>
      <c r="C811">
        <v>46.854999999999997</v>
      </c>
      <c r="E811" s="19">
        <v>42844</v>
      </c>
      <c r="F811">
        <v>58.34</v>
      </c>
      <c r="H811" s="19">
        <v>42844</v>
      </c>
      <c r="I811">
        <v>11.994999999999999</v>
      </c>
      <c r="K811" s="19"/>
      <c r="N811" s="19"/>
    </row>
    <row r="812" spans="2:14" x14ac:dyDescent="0.25">
      <c r="B812" s="19">
        <v>42845</v>
      </c>
      <c r="C812">
        <v>47.07</v>
      </c>
      <c r="E812" s="19">
        <v>42845</v>
      </c>
      <c r="F812">
        <v>60.65</v>
      </c>
      <c r="H812" s="19">
        <v>42845</v>
      </c>
      <c r="I812">
        <v>12.285</v>
      </c>
      <c r="K812" s="19"/>
      <c r="N812" s="19"/>
    </row>
    <row r="813" spans="2:14" x14ac:dyDescent="0.25">
      <c r="B813" s="19">
        <v>42846</v>
      </c>
      <c r="C813">
        <v>46.48</v>
      </c>
      <c r="E813" s="19">
        <v>42846</v>
      </c>
      <c r="F813">
        <v>62</v>
      </c>
      <c r="H813" s="19">
        <v>42846</v>
      </c>
      <c r="I813">
        <v>12.43</v>
      </c>
      <c r="K813" s="19"/>
      <c r="N813" s="19"/>
    </row>
    <row r="814" spans="2:14" x14ac:dyDescent="0.25">
      <c r="B814" s="19">
        <v>42849</v>
      </c>
      <c r="C814">
        <v>47.825000000000003</v>
      </c>
      <c r="E814" s="19">
        <v>42849</v>
      </c>
      <c r="F814">
        <v>66.66</v>
      </c>
      <c r="H814" s="19">
        <v>42849</v>
      </c>
      <c r="I814">
        <v>13.78</v>
      </c>
      <c r="K814" s="19"/>
      <c r="N814" s="19"/>
    </row>
    <row r="815" spans="2:14" x14ac:dyDescent="0.25">
      <c r="B815" s="19">
        <v>42850</v>
      </c>
      <c r="C815">
        <v>47.825000000000003</v>
      </c>
      <c r="E815" s="19">
        <v>42850</v>
      </c>
      <c r="F815">
        <v>66.95</v>
      </c>
      <c r="H815" s="19">
        <v>42850</v>
      </c>
      <c r="I815">
        <v>13.8</v>
      </c>
      <c r="K815" s="19"/>
      <c r="N815" s="19"/>
    </row>
    <row r="816" spans="2:14" x14ac:dyDescent="0.25">
      <c r="B816" s="19">
        <v>42851</v>
      </c>
      <c r="C816">
        <v>47.844999999999999</v>
      </c>
      <c r="E816" s="19">
        <v>42851</v>
      </c>
      <c r="F816">
        <v>65.8</v>
      </c>
      <c r="H816" s="19">
        <v>42851</v>
      </c>
      <c r="I816">
        <v>13.76</v>
      </c>
      <c r="K816" s="19"/>
      <c r="N816" s="19"/>
    </row>
    <row r="817" spans="2:14" x14ac:dyDescent="0.25">
      <c r="B817" s="19">
        <v>42852</v>
      </c>
      <c r="C817">
        <v>47.284999999999997</v>
      </c>
      <c r="E817" s="19">
        <v>42852</v>
      </c>
      <c r="F817">
        <v>64.989999999999995</v>
      </c>
      <c r="H817" s="19">
        <v>42852</v>
      </c>
      <c r="I817">
        <v>13.574999999999999</v>
      </c>
      <c r="K817" s="19"/>
      <c r="N817" s="19"/>
    </row>
    <row r="818" spans="2:14" x14ac:dyDescent="0.25">
      <c r="B818" s="19">
        <v>42853</v>
      </c>
      <c r="C818">
        <v>47.17</v>
      </c>
      <c r="E818" s="19">
        <v>42853</v>
      </c>
      <c r="F818">
        <v>64.78</v>
      </c>
      <c r="H818" s="19">
        <v>42853</v>
      </c>
      <c r="I818">
        <v>13.65</v>
      </c>
      <c r="K818" s="19"/>
      <c r="N818" s="19"/>
    </row>
    <row r="819" spans="2:14" x14ac:dyDescent="0.25">
      <c r="B819" s="19">
        <v>42857</v>
      </c>
      <c r="C819">
        <v>46.844999999999999</v>
      </c>
      <c r="E819" s="19">
        <v>42857</v>
      </c>
      <c r="F819">
        <v>65.77</v>
      </c>
      <c r="H819" s="19">
        <v>42857</v>
      </c>
      <c r="I819">
        <v>13.795</v>
      </c>
      <c r="K819" s="19"/>
      <c r="N819" s="19"/>
    </row>
    <row r="820" spans="2:14" x14ac:dyDescent="0.25">
      <c r="B820" s="19">
        <v>42858</v>
      </c>
      <c r="C820">
        <v>46.765000000000001</v>
      </c>
      <c r="E820" s="19">
        <v>42858</v>
      </c>
      <c r="F820">
        <v>66.150000000000006</v>
      </c>
      <c r="H820" s="19">
        <v>42858</v>
      </c>
      <c r="I820">
        <v>13.95</v>
      </c>
      <c r="K820" s="19"/>
      <c r="N820" s="19"/>
    </row>
    <row r="821" spans="2:14" x14ac:dyDescent="0.25">
      <c r="B821" s="19">
        <v>42859</v>
      </c>
      <c r="C821">
        <v>47.045000000000002</v>
      </c>
      <c r="E821" s="19">
        <v>42859</v>
      </c>
      <c r="F821">
        <v>66.37</v>
      </c>
      <c r="H821" s="19">
        <v>42859</v>
      </c>
      <c r="I821">
        <v>14.13</v>
      </c>
      <c r="K821" s="19"/>
      <c r="N821" s="19"/>
    </row>
    <row r="822" spans="2:14" x14ac:dyDescent="0.25">
      <c r="B822" s="19">
        <v>42860</v>
      </c>
      <c r="C822">
        <v>48</v>
      </c>
      <c r="E822" s="19">
        <v>42860</v>
      </c>
      <c r="F822">
        <v>67.88</v>
      </c>
      <c r="H822" s="19">
        <v>42860</v>
      </c>
      <c r="I822">
        <v>14.48</v>
      </c>
      <c r="K822" s="19"/>
      <c r="N822" s="19"/>
    </row>
    <row r="823" spans="2:14" x14ac:dyDescent="0.25">
      <c r="B823" s="19">
        <v>42863</v>
      </c>
      <c r="C823">
        <v>47.81</v>
      </c>
      <c r="E823" s="19">
        <v>42863</v>
      </c>
      <c r="F823">
        <v>66.84</v>
      </c>
      <c r="H823" s="19">
        <v>42863</v>
      </c>
      <c r="I823">
        <v>14.385</v>
      </c>
      <c r="K823" s="19"/>
      <c r="N823" s="19"/>
    </row>
    <row r="824" spans="2:14" x14ac:dyDescent="0.25">
      <c r="B824" s="19">
        <v>42864</v>
      </c>
      <c r="C824">
        <v>47.825000000000003</v>
      </c>
      <c r="E824" s="19">
        <v>42864</v>
      </c>
      <c r="F824">
        <v>66.66</v>
      </c>
      <c r="H824" s="19">
        <v>42864</v>
      </c>
      <c r="I824">
        <v>14.24</v>
      </c>
      <c r="K824" s="19"/>
      <c r="N824" s="19"/>
    </row>
    <row r="825" spans="2:14" x14ac:dyDescent="0.25">
      <c r="B825" s="19">
        <v>42865</v>
      </c>
      <c r="C825">
        <v>48.164999999999999</v>
      </c>
      <c r="E825" s="19">
        <v>42865</v>
      </c>
      <c r="F825">
        <v>66.78</v>
      </c>
      <c r="H825" s="19">
        <v>42865</v>
      </c>
      <c r="I825">
        <v>14.31</v>
      </c>
      <c r="K825" s="19"/>
      <c r="N825" s="19"/>
    </row>
    <row r="826" spans="2:14" x14ac:dyDescent="0.25">
      <c r="B826" s="19">
        <v>42866</v>
      </c>
      <c r="C826">
        <v>47.89</v>
      </c>
      <c r="E826" s="19">
        <v>42866</v>
      </c>
      <c r="F826">
        <v>66.41</v>
      </c>
      <c r="H826" s="19">
        <v>42866</v>
      </c>
      <c r="I826">
        <v>14.18</v>
      </c>
      <c r="K826" s="19"/>
      <c r="N826" s="19"/>
    </row>
    <row r="827" spans="2:14" x14ac:dyDescent="0.25">
      <c r="B827" s="19">
        <v>42867</v>
      </c>
      <c r="C827">
        <v>47.98</v>
      </c>
      <c r="E827" s="19">
        <v>42867</v>
      </c>
      <c r="F827">
        <v>66.56</v>
      </c>
      <c r="H827" s="19">
        <v>42867</v>
      </c>
      <c r="I827">
        <v>14.285</v>
      </c>
      <c r="K827" s="19"/>
      <c r="N827" s="19"/>
    </row>
    <row r="828" spans="2:14" x14ac:dyDescent="0.25">
      <c r="B828" s="19">
        <v>42870</v>
      </c>
      <c r="C828">
        <v>48.35</v>
      </c>
      <c r="E828" s="19">
        <v>42870</v>
      </c>
      <c r="F828">
        <v>67.069999999999993</v>
      </c>
      <c r="H828" s="19">
        <v>42870</v>
      </c>
      <c r="I828">
        <v>14.4</v>
      </c>
      <c r="K828" s="19"/>
      <c r="N828" s="19"/>
    </row>
    <row r="829" spans="2:14" x14ac:dyDescent="0.25">
      <c r="B829" s="19">
        <v>42871</v>
      </c>
      <c r="C829">
        <v>48.7</v>
      </c>
      <c r="E829" s="19">
        <v>42871</v>
      </c>
      <c r="F829">
        <v>67.209999999999994</v>
      </c>
      <c r="H829" s="19">
        <v>42871</v>
      </c>
      <c r="I829">
        <v>14.36</v>
      </c>
      <c r="K829" s="19"/>
      <c r="N829" s="19"/>
    </row>
    <row r="830" spans="2:14" x14ac:dyDescent="0.25">
      <c r="B830" s="19">
        <v>42872</v>
      </c>
      <c r="C830">
        <v>48.45</v>
      </c>
      <c r="E830" s="19">
        <v>42872</v>
      </c>
      <c r="F830">
        <v>65.11</v>
      </c>
      <c r="H830" s="19">
        <v>42872</v>
      </c>
      <c r="I830">
        <v>14.055</v>
      </c>
      <c r="K830" s="19"/>
      <c r="N830" s="19"/>
    </row>
    <row r="831" spans="2:14" x14ac:dyDescent="0.25">
      <c r="B831" s="19">
        <v>42873</v>
      </c>
      <c r="C831">
        <v>48.25</v>
      </c>
      <c r="E831" s="19">
        <v>42873</v>
      </c>
      <c r="F831">
        <v>64.36</v>
      </c>
      <c r="H831" s="19">
        <v>42873</v>
      </c>
      <c r="I831">
        <v>14.18</v>
      </c>
      <c r="K831" s="19"/>
      <c r="N831" s="19"/>
    </row>
    <row r="832" spans="2:14" x14ac:dyDescent="0.25">
      <c r="B832" s="19">
        <v>42874</v>
      </c>
      <c r="C832">
        <v>48.4</v>
      </c>
      <c r="E832" s="19">
        <v>42874</v>
      </c>
      <c r="F832">
        <v>65.67</v>
      </c>
      <c r="H832" s="19">
        <v>42874</v>
      </c>
      <c r="I832">
        <v>14.315</v>
      </c>
      <c r="K832" s="19"/>
      <c r="N832" s="19"/>
    </row>
    <row r="833" spans="2:14" x14ac:dyDescent="0.25">
      <c r="B833" s="19">
        <v>42877</v>
      </c>
      <c r="C833">
        <v>48.384999999999998</v>
      </c>
      <c r="E833" s="19">
        <v>42877</v>
      </c>
      <c r="F833">
        <v>65.459999999999994</v>
      </c>
      <c r="H833" s="19">
        <v>42877</v>
      </c>
      <c r="I833">
        <v>14.37</v>
      </c>
      <c r="K833" s="19"/>
      <c r="N833" s="19"/>
    </row>
    <row r="834" spans="2:14" x14ac:dyDescent="0.25">
      <c r="B834" s="19">
        <v>42878</v>
      </c>
      <c r="C834">
        <v>48.2</v>
      </c>
      <c r="E834" s="19">
        <v>42878</v>
      </c>
      <c r="F834">
        <v>66.180000000000007</v>
      </c>
      <c r="H834" s="19">
        <v>42878</v>
      </c>
      <c r="I834">
        <v>14.625</v>
      </c>
      <c r="K834" s="19"/>
      <c r="N834" s="19"/>
    </row>
    <row r="835" spans="2:14" x14ac:dyDescent="0.25">
      <c r="B835" s="19">
        <v>42879</v>
      </c>
      <c r="C835">
        <v>48.145000000000003</v>
      </c>
      <c r="E835" s="19">
        <v>42879</v>
      </c>
      <c r="F835">
        <v>66.84</v>
      </c>
      <c r="H835" s="19">
        <v>42879</v>
      </c>
      <c r="I835">
        <v>14.52</v>
      </c>
      <c r="K835" s="19"/>
      <c r="N835" s="19"/>
    </row>
    <row r="836" spans="2:14" x14ac:dyDescent="0.25">
      <c r="B836" s="19">
        <v>42880</v>
      </c>
      <c r="C836">
        <v>47.73</v>
      </c>
      <c r="E836" s="19">
        <v>42880</v>
      </c>
      <c r="F836">
        <v>66.56</v>
      </c>
      <c r="H836" s="19">
        <v>42880</v>
      </c>
      <c r="I836">
        <v>14.56</v>
      </c>
      <c r="K836" s="19"/>
      <c r="N836" s="19"/>
    </row>
    <row r="837" spans="2:14" x14ac:dyDescent="0.25">
      <c r="B837" s="19">
        <v>42881</v>
      </c>
      <c r="C837">
        <v>47.435000000000002</v>
      </c>
      <c r="E837" s="19">
        <v>42881</v>
      </c>
      <c r="F837">
        <v>66.39</v>
      </c>
      <c r="H837" s="19">
        <v>42881</v>
      </c>
      <c r="I837">
        <v>14.5</v>
      </c>
      <c r="K837" s="19"/>
      <c r="N837" s="19"/>
    </row>
    <row r="838" spans="2:14" x14ac:dyDescent="0.25">
      <c r="B838" s="19">
        <v>42884</v>
      </c>
      <c r="C838">
        <v>47.54</v>
      </c>
      <c r="E838" s="19">
        <v>42884</v>
      </c>
      <c r="F838">
        <v>66.349999999999994</v>
      </c>
      <c r="H838" s="19">
        <v>42884</v>
      </c>
      <c r="I838">
        <v>13.904999999999999</v>
      </c>
      <c r="K838" s="19"/>
      <c r="N838" s="19"/>
    </row>
    <row r="839" spans="2:14" x14ac:dyDescent="0.25">
      <c r="B839" s="19">
        <v>42885</v>
      </c>
      <c r="C839">
        <v>47.555</v>
      </c>
      <c r="E839" s="19">
        <v>42885</v>
      </c>
      <c r="F839">
        <v>63.6</v>
      </c>
      <c r="H839" s="19">
        <v>42885</v>
      </c>
      <c r="I839">
        <v>13.78</v>
      </c>
      <c r="K839" s="19"/>
      <c r="N839" s="19"/>
    </row>
    <row r="840" spans="2:14" x14ac:dyDescent="0.25">
      <c r="B840" s="19">
        <v>42886</v>
      </c>
      <c r="C840">
        <v>47.27</v>
      </c>
      <c r="E840" s="19">
        <v>42886</v>
      </c>
      <c r="F840">
        <v>62.82</v>
      </c>
      <c r="H840" s="19">
        <v>42886</v>
      </c>
      <c r="I840">
        <v>13.64</v>
      </c>
      <c r="K840" s="19"/>
      <c r="N840" s="19"/>
    </row>
    <row r="841" spans="2:14" x14ac:dyDescent="0.25">
      <c r="B841" s="19">
        <v>42887</v>
      </c>
      <c r="C841">
        <v>47.174999999999997</v>
      </c>
      <c r="E841" s="19">
        <v>42887</v>
      </c>
      <c r="F841">
        <v>62.99</v>
      </c>
      <c r="H841" s="19">
        <v>42887</v>
      </c>
      <c r="I841">
        <v>13.71</v>
      </c>
      <c r="K841" s="19"/>
      <c r="N841" s="19"/>
    </row>
    <row r="842" spans="2:14" x14ac:dyDescent="0.25">
      <c r="B842" s="19">
        <v>42888</v>
      </c>
      <c r="C842">
        <v>46.8</v>
      </c>
      <c r="E842" s="19">
        <v>42888</v>
      </c>
      <c r="F842">
        <v>63.4</v>
      </c>
      <c r="H842" s="19">
        <v>42888</v>
      </c>
      <c r="I842">
        <v>13.79</v>
      </c>
      <c r="K842" s="19"/>
      <c r="N842" s="19"/>
    </row>
    <row r="843" spans="2:14" x14ac:dyDescent="0.25">
      <c r="B843" s="19">
        <v>42891</v>
      </c>
      <c r="C843">
        <v>45.814999999999998</v>
      </c>
      <c r="E843" s="19">
        <v>42891</v>
      </c>
      <c r="F843">
        <v>63.1</v>
      </c>
      <c r="H843" s="19">
        <v>42891</v>
      </c>
      <c r="I843">
        <v>13.715</v>
      </c>
      <c r="K843" s="19"/>
      <c r="N843" s="19"/>
    </row>
    <row r="844" spans="2:14" x14ac:dyDescent="0.25">
      <c r="B844" s="19">
        <v>42892</v>
      </c>
      <c r="C844">
        <v>45.744999999999997</v>
      </c>
      <c r="E844" s="19">
        <v>42892</v>
      </c>
      <c r="F844">
        <v>62.45</v>
      </c>
      <c r="H844" s="19">
        <v>42892</v>
      </c>
      <c r="I844">
        <v>13.705</v>
      </c>
      <c r="K844" s="19"/>
      <c r="N844" s="19"/>
    </row>
    <row r="845" spans="2:14" x14ac:dyDescent="0.25">
      <c r="B845" s="19">
        <v>42893</v>
      </c>
      <c r="C845">
        <v>45.325000000000003</v>
      </c>
      <c r="E845" s="19">
        <v>42893</v>
      </c>
      <c r="F845">
        <v>63.48</v>
      </c>
      <c r="H845" s="19">
        <v>42893</v>
      </c>
      <c r="I845">
        <v>13.975</v>
      </c>
      <c r="K845" s="19"/>
      <c r="N845" s="19"/>
    </row>
    <row r="846" spans="2:14" x14ac:dyDescent="0.25">
      <c r="B846" s="19">
        <v>42894</v>
      </c>
      <c r="C846">
        <v>45.534999999999997</v>
      </c>
      <c r="E846" s="19">
        <v>42894</v>
      </c>
      <c r="F846">
        <v>63.72</v>
      </c>
      <c r="H846" s="19">
        <v>42894</v>
      </c>
      <c r="I846">
        <v>14.13</v>
      </c>
      <c r="K846" s="19"/>
      <c r="N846" s="19"/>
    </row>
    <row r="847" spans="2:14" x14ac:dyDescent="0.25">
      <c r="B847" s="19">
        <v>42895</v>
      </c>
      <c r="C847">
        <v>45.695</v>
      </c>
      <c r="E847" s="19">
        <v>42895</v>
      </c>
      <c r="F847">
        <v>64.510000000000005</v>
      </c>
      <c r="H847" s="19">
        <v>42895</v>
      </c>
      <c r="I847">
        <v>14.25</v>
      </c>
      <c r="K847" s="19"/>
      <c r="N847" s="19"/>
    </row>
    <row r="848" spans="2:14" x14ac:dyDescent="0.25">
      <c r="B848" s="19">
        <v>42898</v>
      </c>
      <c r="C848">
        <v>45.484999999999999</v>
      </c>
      <c r="E848" s="19">
        <v>42898</v>
      </c>
      <c r="F848">
        <v>63.39</v>
      </c>
      <c r="H848" s="19">
        <v>42898</v>
      </c>
      <c r="I848">
        <v>14.015000000000001</v>
      </c>
      <c r="K848" s="19"/>
      <c r="N848" s="19"/>
    </row>
    <row r="849" spans="2:14" x14ac:dyDescent="0.25">
      <c r="B849" s="19">
        <v>42899</v>
      </c>
      <c r="C849">
        <v>45.47</v>
      </c>
      <c r="E849" s="19">
        <v>42899</v>
      </c>
      <c r="F849">
        <v>63.35</v>
      </c>
      <c r="H849" s="19">
        <v>42899</v>
      </c>
      <c r="I849">
        <v>14.11</v>
      </c>
      <c r="K849" s="19"/>
      <c r="N849" s="19"/>
    </row>
    <row r="850" spans="2:14" x14ac:dyDescent="0.25">
      <c r="B850" s="19">
        <v>42900</v>
      </c>
      <c r="C850">
        <v>44.755000000000003</v>
      </c>
      <c r="E850" s="19">
        <v>42900</v>
      </c>
      <c r="F850">
        <v>62.4</v>
      </c>
      <c r="H850" s="19">
        <v>42900</v>
      </c>
      <c r="I850">
        <v>13.895</v>
      </c>
      <c r="K850" s="19"/>
      <c r="N850" s="19"/>
    </row>
    <row r="851" spans="2:14" x14ac:dyDescent="0.25">
      <c r="B851" s="19">
        <v>42901</v>
      </c>
      <c r="C851">
        <v>44.49</v>
      </c>
      <c r="E851" s="19">
        <v>42901</v>
      </c>
      <c r="F851">
        <v>61.85</v>
      </c>
      <c r="H851" s="19">
        <v>42901</v>
      </c>
      <c r="I851">
        <v>13.885</v>
      </c>
      <c r="K851" s="19"/>
      <c r="N851" s="19"/>
    </row>
    <row r="852" spans="2:14" x14ac:dyDescent="0.25">
      <c r="B852" s="19">
        <v>42902</v>
      </c>
      <c r="C852">
        <v>44.81</v>
      </c>
      <c r="E852" s="19">
        <v>42902</v>
      </c>
      <c r="F852">
        <v>62.05</v>
      </c>
      <c r="H852" s="19">
        <v>42902</v>
      </c>
      <c r="I852">
        <v>13.85</v>
      </c>
      <c r="K852" s="19"/>
      <c r="N852" s="19"/>
    </row>
    <row r="853" spans="2:14" x14ac:dyDescent="0.25">
      <c r="B853" s="19">
        <v>42905</v>
      </c>
      <c r="C853">
        <v>45.15</v>
      </c>
      <c r="E853" s="19">
        <v>42905</v>
      </c>
      <c r="F853">
        <v>63.06</v>
      </c>
      <c r="H853" s="19">
        <v>42905</v>
      </c>
      <c r="I853">
        <v>14.06</v>
      </c>
      <c r="K853" s="19"/>
      <c r="N853" s="19"/>
    </row>
    <row r="854" spans="2:14" x14ac:dyDescent="0.25">
      <c r="B854" s="19">
        <v>42906</v>
      </c>
      <c r="C854">
        <v>44.555</v>
      </c>
      <c r="E854" s="19">
        <v>42906</v>
      </c>
      <c r="F854">
        <v>62.55</v>
      </c>
      <c r="H854" s="19">
        <v>42906</v>
      </c>
      <c r="I854">
        <v>13.945</v>
      </c>
      <c r="K854" s="19"/>
      <c r="N854" s="19"/>
    </row>
    <row r="855" spans="2:14" x14ac:dyDescent="0.25">
      <c r="B855" s="19">
        <v>42907</v>
      </c>
      <c r="C855">
        <v>44.4</v>
      </c>
      <c r="E855" s="19">
        <v>42907</v>
      </c>
      <c r="F855">
        <v>62.14</v>
      </c>
      <c r="H855" s="19">
        <v>42907</v>
      </c>
      <c r="I855">
        <v>13.925000000000001</v>
      </c>
      <c r="K855" s="19"/>
      <c r="N855" s="19"/>
    </row>
    <row r="856" spans="2:14" x14ac:dyDescent="0.25">
      <c r="B856" s="19">
        <v>42908</v>
      </c>
      <c r="C856">
        <v>44.35</v>
      </c>
      <c r="E856" s="19">
        <v>42908</v>
      </c>
      <c r="F856">
        <v>61.93</v>
      </c>
      <c r="H856" s="19">
        <v>42908</v>
      </c>
      <c r="I856">
        <v>13.865</v>
      </c>
      <c r="K856" s="19"/>
      <c r="N856" s="19"/>
    </row>
    <row r="857" spans="2:14" x14ac:dyDescent="0.25">
      <c r="B857" s="19">
        <v>42909</v>
      </c>
      <c r="C857">
        <v>44.11</v>
      </c>
      <c r="E857" s="19">
        <v>42909</v>
      </c>
      <c r="F857">
        <v>61.5</v>
      </c>
      <c r="H857" s="19">
        <v>42909</v>
      </c>
      <c r="I857">
        <v>13.835000000000001</v>
      </c>
      <c r="K857" s="19"/>
      <c r="N857" s="19"/>
    </row>
    <row r="858" spans="2:14" x14ac:dyDescent="0.25">
      <c r="B858" s="19">
        <v>42912</v>
      </c>
      <c r="C858">
        <v>44.104999999999997</v>
      </c>
      <c r="E858" s="19">
        <v>42912</v>
      </c>
      <c r="F858">
        <v>61.6</v>
      </c>
      <c r="H858" s="19">
        <v>42912</v>
      </c>
      <c r="I858">
        <v>13.925000000000001</v>
      </c>
      <c r="K858" s="19"/>
      <c r="N858" s="19"/>
    </row>
    <row r="859" spans="2:14" x14ac:dyDescent="0.25">
      <c r="B859" s="19">
        <v>42913</v>
      </c>
      <c r="C859">
        <v>44.4</v>
      </c>
      <c r="E859" s="19">
        <v>42913</v>
      </c>
      <c r="F859">
        <v>62.65</v>
      </c>
      <c r="H859" s="19">
        <v>42913</v>
      </c>
      <c r="I859">
        <v>14.095000000000001</v>
      </c>
      <c r="K859" s="19"/>
      <c r="N859" s="19"/>
    </row>
    <row r="860" spans="2:14" x14ac:dyDescent="0.25">
      <c r="B860" s="19">
        <v>42914</v>
      </c>
      <c r="C860">
        <v>44.435000000000002</v>
      </c>
      <c r="E860" s="19">
        <v>42914</v>
      </c>
      <c r="F860">
        <v>64.33</v>
      </c>
      <c r="H860" s="19">
        <v>42914</v>
      </c>
      <c r="I860">
        <v>14.315</v>
      </c>
      <c r="K860" s="19"/>
      <c r="N860" s="19"/>
    </row>
    <row r="861" spans="2:14" x14ac:dyDescent="0.25">
      <c r="B861" s="19">
        <v>42915</v>
      </c>
      <c r="C861">
        <v>43.9</v>
      </c>
      <c r="E861" s="19">
        <v>42915</v>
      </c>
      <c r="F861">
        <v>63.97</v>
      </c>
      <c r="H861" s="19">
        <v>42915</v>
      </c>
      <c r="I861">
        <v>14.305</v>
      </c>
      <c r="K861" s="19"/>
      <c r="N861" s="19"/>
    </row>
    <row r="862" spans="2:14" x14ac:dyDescent="0.25">
      <c r="B862" s="19">
        <v>42916</v>
      </c>
      <c r="C862">
        <v>43.284999999999997</v>
      </c>
      <c r="E862" s="19">
        <v>42916</v>
      </c>
      <c r="F862">
        <v>63.06</v>
      </c>
      <c r="H862" s="19">
        <v>42916</v>
      </c>
      <c r="I862">
        <v>14.085000000000001</v>
      </c>
      <c r="K862" s="19"/>
      <c r="N862" s="19"/>
    </row>
    <row r="863" spans="2:14" x14ac:dyDescent="0.25">
      <c r="B863" s="19">
        <v>42919</v>
      </c>
      <c r="C863">
        <v>44.155000000000001</v>
      </c>
      <c r="E863" s="19">
        <v>42919</v>
      </c>
      <c r="F863">
        <v>64.94</v>
      </c>
      <c r="H863" s="19">
        <v>42919</v>
      </c>
      <c r="I863">
        <v>14.47</v>
      </c>
      <c r="K863" s="19"/>
      <c r="N863" s="19"/>
    </row>
    <row r="864" spans="2:14" x14ac:dyDescent="0.25">
      <c r="B864" s="19">
        <v>42920</v>
      </c>
      <c r="C864">
        <v>43.98</v>
      </c>
      <c r="E864" s="19">
        <v>42920</v>
      </c>
      <c r="F864">
        <v>64.680000000000007</v>
      </c>
      <c r="H864" s="19">
        <v>42920</v>
      </c>
      <c r="I864">
        <v>14.615</v>
      </c>
      <c r="K864" s="19"/>
      <c r="N864" s="19"/>
    </row>
    <row r="865" spans="2:14" x14ac:dyDescent="0.25">
      <c r="B865" s="19">
        <v>42921</v>
      </c>
      <c r="C865">
        <v>43.325000000000003</v>
      </c>
      <c r="E865" s="19">
        <v>42921</v>
      </c>
      <c r="F865">
        <v>64.47</v>
      </c>
      <c r="H865" s="19">
        <v>42921</v>
      </c>
      <c r="I865">
        <v>14.645</v>
      </c>
      <c r="K865" s="19"/>
      <c r="N865" s="19"/>
    </row>
    <row r="866" spans="2:14" x14ac:dyDescent="0.25">
      <c r="B866" s="19">
        <v>42922</v>
      </c>
      <c r="C866">
        <v>43.1</v>
      </c>
      <c r="E866" s="19">
        <v>42922</v>
      </c>
      <c r="F866">
        <v>65.34</v>
      </c>
      <c r="H866" s="19">
        <v>42922</v>
      </c>
      <c r="I866">
        <v>14.73</v>
      </c>
      <c r="K866" s="19"/>
      <c r="N866" s="19"/>
    </row>
    <row r="867" spans="2:14" x14ac:dyDescent="0.25">
      <c r="B867" s="19">
        <v>42923</v>
      </c>
      <c r="C867">
        <v>42.46</v>
      </c>
      <c r="E867" s="19">
        <v>42923</v>
      </c>
      <c r="F867">
        <v>65.52</v>
      </c>
      <c r="H867" s="19">
        <v>42923</v>
      </c>
      <c r="I867">
        <v>14.695</v>
      </c>
      <c r="K867" s="19"/>
      <c r="N867" s="19"/>
    </row>
    <row r="868" spans="2:14" x14ac:dyDescent="0.25">
      <c r="B868" s="19">
        <v>42926</v>
      </c>
      <c r="C868">
        <v>42.765000000000001</v>
      </c>
      <c r="E868" s="19">
        <v>42926</v>
      </c>
      <c r="F868">
        <v>65.56</v>
      </c>
      <c r="H868" s="19">
        <v>42926</v>
      </c>
      <c r="I868">
        <v>14.66</v>
      </c>
      <c r="K868" s="19"/>
      <c r="N868" s="19"/>
    </row>
    <row r="869" spans="2:14" x14ac:dyDescent="0.25">
      <c r="B869" s="19">
        <v>42927</v>
      </c>
      <c r="C869">
        <v>42.67</v>
      </c>
      <c r="E869" s="19">
        <v>42927</v>
      </c>
      <c r="F869">
        <v>65.260000000000005</v>
      </c>
      <c r="H869" s="19">
        <v>42927</v>
      </c>
      <c r="I869">
        <v>14.705</v>
      </c>
      <c r="K869" s="19"/>
      <c r="N869" s="19"/>
    </row>
    <row r="870" spans="2:14" x14ac:dyDescent="0.25">
      <c r="B870" s="19">
        <v>42928</v>
      </c>
      <c r="C870">
        <v>43.075000000000003</v>
      </c>
      <c r="E870" s="19">
        <v>42928</v>
      </c>
      <c r="F870">
        <v>65.989999999999995</v>
      </c>
      <c r="H870" s="19">
        <v>42928</v>
      </c>
      <c r="I870">
        <v>14.744999999999999</v>
      </c>
      <c r="K870" s="19"/>
      <c r="N870" s="19"/>
    </row>
    <row r="871" spans="2:14" x14ac:dyDescent="0.25">
      <c r="B871" s="19">
        <v>42929</v>
      </c>
      <c r="C871">
        <v>43.11</v>
      </c>
      <c r="E871" s="19">
        <v>42929</v>
      </c>
      <c r="F871">
        <v>66.92</v>
      </c>
      <c r="H871" s="19">
        <v>42929</v>
      </c>
      <c r="I871">
        <v>14.9</v>
      </c>
      <c r="K871" s="19"/>
      <c r="N871" s="19"/>
    </row>
    <row r="872" spans="2:14" x14ac:dyDescent="0.25">
      <c r="B872" s="19">
        <v>42930</v>
      </c>
      <c r="C872">
        <v>43.335000000000001</v>
      </c>
      <c r="E872" s="19">
        <v>42930</v>
      </c>
      <c r="F872">
        <v>66.3</v>
      </c>
      <c r="H872" s="19">
        <v>42930</v>
      </c>
      <c r="I872">
        <v>14.65</v>
      </c>
      <c r="K872" s="19"/>
      <c r="N872" s="19"/>
    </row>
    <row r="873" spans="2:14" x14ac:dyDescent="0.25">
      <c r="B873" s="19">
        <v>42933</v>
      </c>
      <c r="C873">
        <v>43.27</v>
      </c>
      <c r="E873" s="19">
        <v>42933</v>
      </c>
      <c r="F873">
        <v>65.86</v>
      </c>
      <c r="H873" s="19">
        <v>42933</v>
      </c>
      <c r="I873">
        <v>14.66</v>
      </c>
      <c r="K873" s="19"/>
      <c r="N873" s="19"/>
    </row>
    <row r="874" spans="2:14" x14ac:dyDescent="0.25">
      <c r="B874" s="19">
        <v>42934</v>
      </c>
      <c r="C874">
        <v>42.914999999999999</v>
      </c>
      <c r="E874" s="19">
        <v>42934</v>
      </c>
      <c r="F874">
        <v>64.760000000000005</v>
      </c>
      <c r="H874" s="19">
        <v>42934</v>
      </c>
      <c r="I874">
        <v>14.535</v>
      </c>
      <c r="K874" s="19"/>
      <c r="N874" s="19"/>
    </row>
    <row r="875" spans="2:14" x14ac:dyDescent="0.25">
      <c r="B875" s="19">
        <v>42935</v>
      </c>
      <c r="C875">
        <v>43.384999999999998</v>
      </c>
      <c r="E875" s="19">
        <v>42935</v>
      </c>
      <c r="F875">
        <v>64.84</v>
      </c>
      <c r="H875" s="19">
        <v>42935</v>
      </c>
      <c r="I875">
        <v>14.574999999999999</v>
      </c>
      <c r="K875" s="19"/>
      <c r="N875" s="19"/>
    </row>
    <row r="876" spans="2:14" x14ac:dyDescent="0.25">
      <c r="B876" s="19">
        <v>42936</v>
      </c>
      <c r="C876">
        <v>43.344999999999999</v>
      </c>
      <c r="E876" s="19">
        <v>42936</v>
      </c>
      <c r="F876">
        <v>64.290000000000006</v>
      </c>
      <c r="H876" s="19">
        <v>42936</v>
      </c>
      <c r="I876">
        <v>14.53</v>
      </c>
      <c r="K876" s="19"/>
      <c r="N876" s="19"/>
    </row>
    <row r="877" spans="2:14" x14ac:dyDescent="0.25">
      <c r="B877" s="19">
        <v>42937</v>
      </c>
      <c r="C877">
        <v>42.715000000000003</v>
      </c>
      <c r="E877" s="19">
        <v>42937</v>
      </c>
      <c r="F877">
        <v>63.64</v>
      </c>
      <c r="H877" s="19">
        <v>42937</v>
      </c>
      <c r="I877">
        <v>14.39</v>
      </c>
      <c r="K877" s="19"/>
      <c r="N877" s="19"/>
    </row>
    <row r="878" spans="2:14" x14ac:dyDescent="0.25">
      <c r="B878" s="19">
        <v>42940</v>
      </c>
      <c r="C878">
        <v>42.655000000000001</v>
      </c>
      <c r="E878" s="19">
        <v>42940</v>
      </c>
      <c r="F878">
        <v>64.23</v>
      </c>
      <c r="H878" s="19">
        <v>42940</v>
      </c>
      <c r="I878">
        <v>14.505000000000001</v>
      </c>
      <c r="K878" s="19"/>
      <c r="N878" s="19"/>
    </row>
    <row r="879" spans="2:14" x14ac:dyDescent="0.25">
      <c r="B879" s="19">
        <v>42941</v>
      </c>
      <c r="C879">
        <v>42.97</v>
      </c>
      <c r="E879" s="19">
        <v>42941</v>
      </c>
      <c r="F879">
        <v>65.17</v>
      </c>
      <c r="H879" s="19">
        <v>42941</v>
      </c>
      <c r="I879">
        <v>14.845000000000001</v>
      </c>
      <c r="K879" s="19"/>
      <c r="N879" s="19"/>
    </row>
    <row r="880" spans="2:14" x14ac:dyDescent="0.25">
      <c r="B880" s="19">
        <v>42942</v>
      </c>
      <c r="C880">
        <v>43.22</v>
      </c>
      <c r="E880" s="19">
        <v>42942</v>
      </c>
      <c r="F880">
        <v>65.900000000000006</v>
      </c>
      <c r="H880" s="19">
        <v>42942</v>
      </c>
      <c r="I880">
        <v>15</v>
      </c>
      <c r="K880" s="19"/>
      <c r="N880" s="19"/>
    </row>
    <row r="881" spans="2:14" x14ac:dyDescent="0.25">
      <c r="B881" s="19">
        <v>42943</v>
      </c>
      <c r="C881">
        <v>43</v>
      </c>
      <c r="E881" s="19">
        <v>42943</v>
      </c>
      <c r="F881">
        <v>66</v>
      </c>
      <c r="H881" s="19">
        <v>42943</v>
      </c>
      <c r="I881">
        <v>15.074999999999999</v>
      </c>
      <c r="K881" s="19"/>
      <c r="N881" s="19"/>
    </row>
    <row r="882" spans="2:14" x14ac:dyDescent="0.25">
      <c r="B882" s="19">
        <v>42944</v>
      </c>
      <c r="C882">
        <v>42.99</v>
      </c>
      <c r="E882" s="19">
        <v>42944</v>
      </c>
      <c r="F882">
        <v>66.099999999999994</v>
      </c>
      <c r="H882" s="19">
        <v>42944</v>
      </c>
      <c r="I882">
        <v>14.945</v>
      </c>
      <c r="K882" s="19"/>
      <c r="N882" s="19"/>
    </row>
    <row r="883" spans="2:14" x14ac:dyDescent="0.25">
      <c r="B883" s="19">
        <v>42947</v>
      </c>
      <c r="C883">
        <v>42.96</v>
      </c>
      <c r="E883" s="19">
        <v>42947</v>
      </c>
      <c r="F883">
        <v>65.569999999999993</v>
      </c>
      <c r="H883" s="19">
        <v>42947</v>
      </c>
      <c r="I883">
        <v>14.85</v>
      </c>
      <c r="K883" s="19"/>
      <c r="N883" s="19"/>
    </row>
    <row r="884" spans="2:14" x14ac:dyDescent="0.25">
      <c r="B884" s="19">
        <v>42948</v>
      </c>
      <c r="C884">
        <v>43.445</v>
      </c>
      <c r="E884" s="19">
        <v>42948</v>
      </c>
      <c r="F884">
        <v>66.790000000000006</v>
      </c>
      <c r="H884" s="19">
        <v>42948</v>
      </c>
      <c r="I884">
        <v>14.845000000000001</v>
      </c>
      <c r="K884" s="19"/>
      <c r="N884" s="19"/>
    </row>
    <row r="885" spans="2:14" x14ac:dyDescent="0.25">
      <c r="B885" s="19">
        <v>42949</v>
      </c>
      <c r="C885">
        <v>43.64</v>
      </c>
      <c r="E885" s="19">
        <v>42949</v>
      </c>
      <c r="F885">
        <v>66.56</v>
      </c>
      <c r="H885" s="19">
        <v>42949</v>
      </c>
      <c r="I885">
        <v>14.8</v>
      </c>
      <c r="K885" s="19"/>
      <c r="N885" s="19"/>
    </row>
    <row r="886" spans="2:14" x14ac:dyDescent="0.25">
      <c r="B886" s="19">
        <v>42950</v>
      </c>
      <c r="C886">
        <v>43.57</v>
      </c>
      <c r="E886" s="19">
        <v>42950</v>
      </c>
      <c r="F886">
        <v>67.22</v>
      </c>
      <c r="H886" s="19">
        <v>42950</v>
      </c>
      <c r="I886">
        <v>14.815</v>
      </c>
      <c r="K886" s="19"/>
      <c r="N886" s="19"/>
    </row>
    <row r="887" spans="2:14" x14ac:dyDescent="0.25">
      <c r="B887" s="19">
        <v>42951</v>
      </c>
      <c r="C887">
        <v>43.92</v>
      </c>
      <c r="E887" s="19">
        <v>42951</v>
      </c>
      <c r="F887">
        <v>68.12</v>
      </c>
      <c r="H887" s="19">
        <v>42951</v>
      </c>
      <c r="I887">
        <v>14.97</v>
      </c>
      <c r="K887" s="19"/>
      <c r="N887" s="19"/>
    </row>
    <row r="888" spans="2:14" x14ac:dyDescent="0.25">
      <c r="B888" s="19">
        <v>42954</v>
      </c>
      <c r="C888">
        <v>43.84</v>
      </c>
      <c r="E888" s="19">
        <v>42954</v>
      </c>
      <c r="F888">
        <v>68.55</v>
      </c>
      <c r="H888" s="19">
        <v>42954</v>
      </c>
      <c r="I888">
        <v>15.25</v>
      </c>
      <c r="K888" s="19"/>
      <c r="N888" s="19"/>
    </row>
    <row r="889" spans="2:14" x14ac:dyDescent="0.25">
      <c r="B889" s="19">
        <v>42955</v>
      </c>
      <c r="C889">
        <v>43.914999999999999</v>
      </c>
      <c r="E889" s="19">
        <v>42955</v>
      </c>
      <c r="F889">
        <v>68.89</v>
      </c>
      <c r="H889" s="19">
        <v>42955</v>
      </c>
      <c r="I889">
        <v>15.675000000000001</v>
      </c>
      <c r="K889" s="19"/>
      <c r="N889" s="19"/>
    </row>
    <row r="890" spans="2:14" x14ac:dyDescent="0.25">
      <c r="B890" s="19">
        <v>42956</v>
      </c>
      <c r="C890">
        <v>43.45</v>
      </c>
      <c r="E890" s="19">
        <v>42956</v>
      </c>
      <c r="F890">
        <v>67.27</v>
      </c>
      <c r="H890" s="19">
        <v>42956</v>
      </c>
      <c r="I890">
        <v>15.35</v>
      </c>
      <c r="K890" s="19"/>
      <c r="N890" s="19"/>
    </row>
    <row r="891" spans="2:14" x14ac:dyDescent="0.25">
      <c r="B891" s="19">
        <v>42957</v>
      </c>
      <c r="C891">
        <v>43.54</v>
      </c>
      <c r="E891" s="19">
        <v>42957</v>
      </c>
      <c r="F891">
        <v>66.69</v>
      </c>
      <c r="H891" s="19">
        <v>42957</v>
      </c>
      <c r="I891">
        <v>15.205</v>
      </c>
      <c r="K891" s="19"/>
      <c r="N891" s="19"/>
    </row>
    <row r="892" spans="2:14" x14ac:dyDescent="0.25">
      <c r="B892" s="19">
        <v>42958</v>
      </c>
      <c r="C892">
        <v>42.75</v>
      </c>
      <c r="E892" s="19">
        <v>42958</v>
      </c>
      <c r="F892">
        <v>65.69</v>
      </c>
      <c r="H892" s="19">
        <v>42958</v>
      </c>
      <c r="I892">
        <v>15.085000000000001</v>
      </c>
      <c r="K892" s="19"/>
      <c r="N892" s="19"/>
    </row>
    <row r="893" spans="2:14" x14ac:dyDescent="0.25">
      <c r="B893" s="19">
        <v>42961</v>
      </c>
      <c r="C893">
        <v>42.86</v>
      </c>
      <c r="E893" s="19">
        <v>42961</v>
      </c>
      <c r="F893">
        <v>66.69</v>
      </c>
      <c r="H893" s="19">
        <v>42961</v>
      </c>
      <c r="I893">
        <v>15.21</v>
      </c>
      <c r="K893" s="19"/>
      <c r="N893" s="19"/>
    </row>
    <row r="894" spans="2:14" x14ac:dyDescent="0.25">
      <c r="B894" s="19">
        <v>42962</v>
      </c>
      <c r="C894">
        <v>42.744999999999997</v>
      </c>
      <c r="E894" s="19">
        <v>42962</v>
      </c>
      <c r="F894">
        <v>67.19</v>
      </c>
      <c r="H894" s="19">
        <v>42962</v>
      </c>
      <c r="I894">
        <v>15.375</v>
      </c>
      <c r="K894" s="19"/>
      <c r="N894" s="19"/>
    </row>
    <row r="895" spans="2:14" x14ac:dyDescent="0.25">
      <c r="B895" s="19">
        <v>42963</v>
      </c>
      <c r="C895">
        <v>43.045000000000002</v>
      </c>
      <c r="E895" s="19">
        <v>42963</v>
      </c>
      <c r="F895">
        <v>67.239999999999995</v>
      </c>
      <c r="H895" s="19">
        <v>42963</v>
      </c>
      <c r="I895">
        <v>15.465</v>
      </c>
      <c r="K895" s="19"/>
      <c r="N895" s="19"/>
    </row>
    <row r="896" spans="2:14" x14ac:dyDescent="0.25">
      <c r="B896" s="19">
        <v>42964</v>
      </c>
      <c r="C896">
        <v>42.76</v>
      </c>
      <c r="E896" s="19">
        <v>42964</v>
      </c>
      <c r="F896">
        <v>66.2</v>
      </c>
      <c r="H896" s="19">
        <v>42964</v>
      </c>
      <c r="I896">
        <v>15.16</v>
      </c>
      <c r="K896" s="19"/>
      <c r="N896" s="19"/>
    </row>
    <row r="897" spans="2:14" x14ac:dyDescent="0.25">
      <c r="B897" s="19">
        <v>42965</v>
      </c>
      <c r="C897">
        <v>42.65</v>
      </c>
      <c r="E897" s="19">
        <v>42965</v>
      </c>
      <c r="F897">
        <v>65.989999999999995</v>
      </c>
      <c r="H897" s="19">
        <v>42965</v>
      </c>
      <c r="I897">
        <v>15.335000000000001</v>
      </c>
      <c r="K897" s="19"/>
      <c r="N897" s="19"/>
    </row>
    <row r="898" spans="2:14" x14ac:dyDescent="0.25">
      <c r="B898" s="19">
        <v>42968</v>
      </c>
      <c r="C898">
        <v>42.78</v>
      </c>
      <c r="E898" s="19">
        <v>42968</v>
      </c>
      <c r="F898">
        <v>64.680000000000007</v>
      </c>
      <c r="H898" s="19">
        <v>42968</v>
      </c>
      <c r="I898">
        <v>15.105</v>
      </c>
      <c r="K898" s="19"/>
      <c r="N898" s="19"/>
    </row>
    <row r="899" spans="2:14" x14ac:dyDescent="0.25">
      <c r="B899" s="19">
        <v>42969</v>
      </c>
      <c r="C899">
        <v>43.42</v>
      </c>
      <c r="E899" s="19">
        <v>42969</v>
      </c>
      <c r="F899">
        <v>65.12</v>
      </c>
      <c r="H899" s="19">
        <v>42969</v>
      </c>
      <c r="I899">
        <v>15.25</v>
      </c>
      <c r="K899" s="19"/>
      <c r="N899" s="19"/>
    </row>
    <row r="900" spans="2:14" x14ac:dyDescent="0.25">
      <c r="B900" s="19">
        <v>42970</v>
      </c>
      <c r="C900">
        <v>43.674999999999997</v>
      </c>
      <c r="E900" s="19">
        <v>42970</v>
      </c>
      <c r="F900">
        <v>64.17</v>
      </c>
      <c r="H900" s="19">
        <v>42970</v>
      </c>
      <c r="I900">
        <v>15.09</v>
      </c>
      <c r="K900" s="19"/>
      <c r="N900" s="19"/>
    </row>
    <row r="901" spans="2:14" x14ac:dyDescent="0.25">
      <c r="B901" s="19">
        <v>42971</v>
      </c>
      <c r="C901">
        <v>43.445</v>
      </c>
      <c r="E901" s="19">
        <v>42971</v>
      </c>
      <c r="F901">
        <v>64.39</v>
      </c>
      <c r="H901" s="19">
        <v>42971</v>
      </c>
      <c r="I901">
        <v>15.074999999999999</v>
      </c>
      <c r="K901" s="19"/>
      <c r="N901" s="19"/>
    </row>
    <row r="902" spans="2:14" x14ac:dyDescent="0.25">
      <c r="B902" s="19">
        <v>42972</v>
      </c>
      <c r="C902">
        <v>43.325000000000003</v>
      </c>
      <c r="E902" s="19">
        <v>42972</v>
      </c>
      <c r="F902">
        <v>64.22</v>
      </c>
      <c r="H902" s="19">
        <v>42972</v>
      </c>
      <c r="I902">
        <v>14.914999999999999</v>
      </c>
      <c r="K902" s="19"/>
      <c r="N902" s="19"/>
    </row>
    <row r="903" spans="2:14" x14ac:dyDescent="0.25">
      <c r="B903" s="19">
        <v>42975</v>
      </c>
      <c r="C903">
        <v>43.134999999999998</v>
      </c>
      <c r="E903" s="19">
        <v>42975</v>
      </c>
      <c r="F903">
        <v>63.95</v>
      </c>
      <c r="H903" s="19">
        <v>42975</v>
      </c>
      <c r="I903">
        <v>14.95</v>
      </c>
      <c r="K903" s="19"/>
      <c r="N903" s="19"/>
    </row>
    <row r="904" spans="2:14" x14ac:dyDescent="0.25">
      <c r="B904" s="19">
        <v>42976</v>
      </c>
      <c r="C904">
        <v>42.954999999999998</v>
      </c>
      <c r="E904" s="19">
        <v>42976</v>
      </c>
      <c r="F904">
        <v>63.23</v>
      </c>
      <c r="H904" s="19">
        <v>42976</v>
      </c>
      <c r="I904">
        <v>14.61</v>
      </c>
      <c r="K904" s="19"/>
      <c r="N904" s="19"/>
    </row>
    <row r="905" spans="2:14" x14ac:dyDescent="0.25">
      <c r="B905" s="19">
        <v>42977</v>
      </c>
      <c r="C905">
        <v>43.234999999999999</v>
      </c>
      <c r="E905" s="19">
        <v>42977</v>
      </c>
      <c r="F905">
        <v>63.16</v>
      </c>
      <c r="H905" s="19">
        <v>42977</v>
      </c>
      <c r="I905">
        <v>14.515000000000001</v>
      </c>
      <c r="K905" s="19"/>
      <c r="N905" s="19"/>
    </row>
    <row r="906" spans="2:14" x14ac:dyDescent="0.25">
      <c r="B906" s="19">
        <v>42978</v>
      </c>
      <c r="C906">
        <v>43.445</v>
      </c>
      <c r="E906" s="19">
        <v>42978</v>
      </c>
      <c r="F906">
        <v>63.91</v>
      </c>
      <c r="H906" s="19">
        <v>42978</v>
      </c>
      <c r="I906">
        <v>14.81</v>
      </c>
      <c r="K906" s="19"/>
      <c r="N906" s="19"/>
    </row>
    <row r="907" spans="2:14" x14ac:dyDescent="0.25">
      <c r="B907" s="19">
        <v>42979</v>
      </c>
      <c r="C907">
        <v>43.805</v>
      </c>
      <c r="E907" s="19">
        <v>42979</v>
      </c>
      <c r="F907">
        <v>64.349999999999994</v>
      </c>
      <c r="H907" s="19">
        <v>42979</v>
      </c>
      <c r="I907">
        <v>14.885</v>
      </c>
      <c r="K907" s="19"/>
      <c r="N907" s="19"/>
    </row>
    <row r="908" spans="2:14" x14ac:dyDescent="0.25">
      <c r="B908" s="19">
        <v>42982</v>
      </c>
      <c r="C908">
        <v>43.72</v>
      </c>
      <c r="E908" s="19">
        <v>42982</v>
      </c>
      <c r="F908">
        <v>63.88</v>
      </c>
      <c r="H908" s="19">
        <v>42982</v>
      </c>
      <c r="I908">
        <v>14.84</v>
      </c>
      <c r="K908" s="19"/>
      <c r="N908" s="19"/>
    </row>
    <row r="909" spans="2:14" x14ac:dyDescent="0.25">
      <c r="B909" s="19">
        <v>42983</v>
      </c>
      <c r="C909">
        <v>43.89</v>
      </c>
      <c r="E909" s="19">
        <v>42983</v>
      </c>
      <c r="F909">
        <v>62.68</v>
      </c>
      <c r="H909" s="19">
        <v>42983</v>
      </c>
      <c r="I909">
        <v>14.58</v>
      </c>
      <c r="K909" s="19"/>
      <c r="N909" s="19"/>
    </row>
    <row r="910" spans="2:14" x14ac:dyDescent="0.25">
      <c r="B910" s="19">
        <v>42984</v>
      </c>
      <c r="C910">
        <v>44.03</v>
      </c>
      <c r="E910" s="19">
        <v>42984</v>
      </c>
      <c r="F910">
        <v>62.59</v>
      </c>
      <c r="H910" s="19">
        <v>42984</v>
      </c>
      <c r="I910">
        <v>14.585000000000001</v>
      </c>
      <c r="K910" s="19"/>
      <c r="N910" s="19"/>
    </row>
    <row r="911" spans="2:14" x14ac:dyDescent="0.25">
      <c r="B911" s="19">
        <v>42985</v>
      </c>
      <c r="C911">
        <v>44.335000000000001</v>
      </c>
      <c r="E911" s="19">
        <v>42985</v>
      </c>
      <c r="F911">
        <v>62.52</v>
      </c>
      <c r="H911" s="19">
        <v>42985</v>
      </c>
      <c r="I911">
        <v>14.505000000000001</v>
      </c>
      <c r="K911" s="19"/>
      <c r="N911" s="19"/>
    </row>
    <row r="912" spans="2:14" x14ac:dyDescent="0.25">
      <c r="B912" s="19">
        <v>42986</v>
      </c>
      <c r="C912">
        <v>43.99</v>
      </c>
      <c r="E912" s="19">
        <v>42986</v>
      </c>
      <c r="F912">
        <v>62.99</v>
      </c>
      <c r="H912" s="19">
        <v>42986</v>
      </c>
      <c r="I912">
        <v>14.654999999999999</v>
      </c>
      <c r="K912" s="19"/>
      <c r="N912" s="19"/>
    </row>
    <row r="913" spans="2:14" x14ac:dyDescent="0.25">
      <c r="B913" s="19">
        <v>42989</v>
      </c>
      <c r="C913">
        <v>44.37</v>
      </c>
      <c r="E913" s="19">
        <v>42989</v>
      </c>
      <c r="F913">
        <v>64.3</v>
      </c>
      <c r="H913" s="19">
        <v>42989</v>
      </c>
      <c r="I913">
        <v>15.025</v>
      </c>
      <c r="K913" s="19"/>
      <c r="N913" s="19"/>
    </row>
    <row r="914" spans="2:14" x14ac:dyDescent="0.25">
      <c r="B914" s="19">
        <v>42990</v>
      </c>
      <c r="C914">
        <v>44.51</v>
      </c>
      <c r="E914" s="19">
        <v>42990</v>
      </c>
      <c r="F914">
        <v>65.84</v>
      </c>
      <c r="H914" s="19">
        <v>42990</v>
      </c>
      <c r="I914">
        <v>15.25</v>
      </c>
      <c r="K914" s="19"/>
      <c r="N914" s="19"/>
    </row>
    <row r="915" spans="2:14" x14ac:dyDescent="0.25">
      <c r="B915" s="19">
        <v>42991</v>
      </c>
      <c r="C915">
        <v>44.74</v>
      </c>
      <c r="E915" s="19">
        <v>42991</v>
      </c>
      <c r="F915">
        <v>66.400000000000006</v>
      </c>
      <c r="H915" s="19">
        <v>42991</v>
      </c>
      <c r="I915">
        <v>15.34</v>
      </c>
      <c r="K915" s="19"/>
      <c r="N915" s="19"/>
    </row>
    <row r="916" spans="2:14" x14ac:dyDescent="0.25">
      <c r="B916" s="19">
        <v>42992</v>
      </c>
      <c r="C916">
        <v>44.96</v>
      </c>
      <c r="E916" s="19">
        <v>42992</v>
      </c>
      <c r="F916">
        <v>66.540000000000006</v>
      </c>
      <c r="H916" s="19">
        <v>42992</v>
      </c>
      <c r="I916">
        <v>15.285</v>
      </c>
      <c r="K916" s="19"/>
      <c r="N916" s="19"/>
    </row>
    <row r="917" spans="2:14" x14ac:dyDescent="0.25">
      <c r="B917" s="19">
        <v>42993</v>
      </c>
      <c r="C917">
        <v>44.924999999999997</v>
      </c>
      <c r="E917" s="19">
        <v>42993</v>
      </c>
      <c r="F917">
        <v>65.989999999999995</v>
      </c>
      <c r="H917" s="19">
        <v>42993</v>
      </c>
      <c r="I917">
        <v>15.215</v>
      </c>
      <c r="K917" s="19"/>
      <c r="N917" s="19"/>
    </row>
    <row r="918" spans="2:14" x14ac:dyDescent="0.25">
      <c r="B918" s="19">
        <v>42996</v>
      </c>
      <c r="C918">
        <v>44.945</v>
      </c>
      <c r="E918" s="19">
        <v>42996</v>
      </c>
      <c r="F918">
        <v>66.209999999999994</v>
      </c>
      <c r="H918" s="19">
        <v>42996</v>
      </c>
      <c r="I918">
        <v>15.035</v>
      </c>
      <c r="K918" s="19"/>
      <c r="N918" s="19"/>
    </row>
    <row r="919" spans="2:14" x14ac:dyDescent="0.25">
      <c r="B919" s="19">
        <v>42997</v>
      </c>
      <c r="C919">
        <v>45.18</v>
      </c>
      <c r="E919" s="19">
        <v>42997</v>
      </c>
      <c r="F919">
        <v>66.17</v>
      </c>
      <c r="H919" s="19">
        <v>42997</v>
      </c>
      <c r="I919">
        <v>14.91</v>
      </c>
      <c r="K919" s="19"/>
      <c r="N919" s="19"/>
    </row>
    <row r="920" spans="2:14" x14ac:dyDescent="0.25">
      <c r="B920" s="19">
        <v>42998</v>
      </c>
      <c r="C920">
        <v>45.674999999999997</v>
      </c>
      <c r="E920" s="19">
        <v>42998</v>
      </c>
      <c r="F920">
        <v>66.05</v>
      </c>
      <c r="H920" s="19">
        <v>42998</v>
      </c>
      <c r="I920">
        <v>14.91</v>
      </c>
      <c r="K920" s="19"/>
      <c r="N920" s="19"/>
    </row>
    <row r="921" spans="2:14" x14ac:dyDescent="0.25">
      <c r="B921" s="19">
        <v>42999</v>
      </c>
      <c r="C921">
        <v>45.884999999999998</v>
      </c>
      <c r="E921" s="19">
        <v>42999</v>
      </c>
      <c r="F921">
        <v>66.72</v>
      </c>
      <c r="H921" s="19">
        <v>42999</v>
      </c>
      <c r="I921">
        <v>15.16</v>
      </c>
      <c r="K921" s="19"/>
      <c r="N921" s="19"/>
    </row>
    <row r="922" spans="2:14" x14ac:dyDescent="0.25">
      <c r="B922" s="19">
        <v>43000</v>
      </c>
      <c r="C922">
        <v>45.935000000000002</v>
      </c>
      <c r="E922" s="19">
        <v>43000</v>
      </c>
      <c r="F922">
        <v>67.3</v>
      </c>
      <c r="H922" s="19">
        <v>43000</v>
      </c>
      <c r="I922">
        <v>15.164999999999999</v>
      </c>
      <c r="K922" s="19"/>
      <c r="N922" s="19"/>
    </row>
    <row r="923" spans="2:14" x14ac:dyDescent="0.25">
      <c r="B923" s="19">
        <v>43003</v>
      </c>
      <c r="C923">
        <v>45.63</v>
      </c>
      <c r="E923" s="19">
        <v>43003</v>
      </c>
      <c r="F923">
        <v>66.33</v>
      </c>
      <c r="H923" s="19">
        <v>43003</v>
      </c>
      <c r="I923">
        <v>14.96</v>
      </c>
      <c r="K923" s="19"/>
      <c r="N923" s="19"/>
    </row>
    <row r="924" spans="2:14" x14ac:dyDescent="0.25">
      <c r="B924" s="19">
        <v>43004</v>
      </c>
      <c r="C924">
        <v>45.255000000000003</v>
      </c>
      <c r="E924" s="19">
        <v>43004</v>
      </c>
      <c r="F924">
        <v>66.150000000000006</v>
      </c>
      <c r="H924" s="19">
        <v>43004</v>
      </c>
      <c r="I924">
        <v>14.98</v>
      </c>
      <c r="K924" s="19"/>
      <c r="N924" s="19"/>
    </row>
    <row r="925" spans="2:14" x14ac:dyDescent="0.25">
      <c r="B925" s="19">
        <v>43005</v>
      </c>
      <c r="C925">
        <v>45.11</v>
      </c>
      <c r="E925" s="19">
        <v>43005</v>
      </c>
      <c r="F925">
        <v>67.45</v>
      </c>
      <c r="H925" s="19">
        <v>43005</v>
      </c>
      <c r="I925">
        <v>15.315</v>
      </c>
      <c r="K925" s="19"/>
      <c r="N925" s="19"/>
    </row>
    <row r="926" spans="2:14" x14ac:dyDescent="0.25">
      <c r="B926" s="19">
        <v>43006</v>
      </c>
      <c r="C926">
        <v>45.215000000000003</v>
      </c>
      <c r="E926" s="19">
        <v>43006</v>
      </c>
      <c r="F926">
        <v>67.67</v>
      </c>
      <c r="H926" s="19">
        <v>43006</v>
      </c>
      <c r="I926">
        <v>15.34</v>
      </c>
      <c r="K926" s="19"/>
      <c r="N926" s="19"/>
    </row>
    <row r="927" spans="2:14" x14ac:dyDescent="0.25">
      <c r="B927" s="19">
        <v>43007</v>
      </c>
      <c r="C927">
        <v>45.445</v>
      </c>
      <c r="E927" s="19">
        <v>43007</v>
      </c>
      <c r="F927">
        <v>68.25</v>
      </c>
      <c r="H927" s="19">
        <v>43007</v>
      </c>
      <c r="I927">
        <v>15.38</v>
      </c>
      <c r="K927" s="19"/>
      <c r="N927" s="19"/>
    </row>
    <row r="928" spans="2:14" x14ac:dyDescent="0.25">
      <c r="B928" s="19">
        <v>43010</v>
      </c>
      <c r="C928">
        <v>45.234999999999999</v>
      </c>
      <c r="E928" s="19">
        <v>43010</v>
      </c>
      <c r="F928">
        <v>68.45</v>
      </c>
      <c r="H928" s="19">
        <v>43010</v>
      </c>
      <c r="I928">
        <v>15.395</v>
      </c>
      <c r="K928" s="19"/>
      <c r="N928" s="19"/>
    </row>
    <row r="929" spans="2:14" x14ac:dyDescent="0.25">
      <c r="B929" s="19">
        <v>43011</v>
      </c>
      <c r="C929">
        <v>45.62</v>
      </c>
      <c r="E929" s="19">
        <v>43011</v>
      </c>
      <c r="F929">
        <v>68.510000000000005</v>
      </c>
      <c r="H929" s="19">
        <v>43011</v>
      </c>
      <c r="I929">
        <v>15.494999999999999</v>
      </c>
      <c r="K929" s="19"/>
      <c r="N929" s="19"/>
    </row>
    <row r="930" spans="2:14" x14ac:dyDescent="0.25">
      <c r="B930" s="19">
        <v>43012</v>
      </c>
      <c r="C930">
        <v>45.37</v>
      </c>
      <c r="E930" s="19">
        <v>43012</v>
      </c>
      <c r="F930">
        <v>67.3</v>
      </c>
      <c r="H930" s="19">
        <v>43012</v>
      </c>
      <c r="I930">
        <v>15.43</v>
      </c>
      <c r="K930" s="19"/>
      <c r="N930" s="19"/>
    </row>
    <row r="931" spans="2:14" x14ac:dyDescent="0.25">
      <c r="B931" s="19">
        <v>43013</v>
      </c>
      <c r="C931">
        <v>45.734999999999999</v>
      </c>
      <c r="E931" s="19">
        <v>43013</v>
      </c>
      <c r="F931">
        <v>68.53</v>
      </c>
      <c r="H931" s="19">
        <v>43013</v>
      </c>
      <c r="I931">
        <v>15.53</v>
      </c>
      <c r="K931" s="19"/>
      <c r="N931" s="19"/>
    </row>
    <row r="932" spans="2:14" x14ac:dyDescent="0.25">
      <c r="B932" s="19">
        <v>43014</v>
      </c>
      <c r="C932">
        <v>45.555</v>
      </c>
      <c r="E932" s="19">
        <v>43014</v>
      </c>
      <c r="F932">
        <v>68.400000000000006</v>
      </c>
      <c r="H932" s="19">
        <v>43014</v>
      </c>
      <c r="I932">
        <v>15.515000000000001</v>
      </c>
      <c r="K932" s="19"/>
      <c r="N932" s="19"/>
    </row>
    <row r="933" spans="2:14" x14ac:dyDescent="0.25">
      <c r="B933" s="19">
        <v>43017</v>
      </c>
      <c r="C933">
        <v>45.545000000000002</v>
      </c>
      <c r="E933" s="19">
        <v>43017</v>
      </c>
      <c r="F933">
        <v>67.959999999999994</v>
      </c>
      <c r="H933" s="19">
        <v>43017</v>
      </c>
      <c r="I933">
        <v>15.335000000000001</v>
      </c>
      <c r="K933" s="19"/>
      <c r="N933" s="19"/>
    </row>
    <row r="934" spans="2:14" x14ac:dyDescent="0.25">
      <c r="B934" s="19">
        <v>43018</v>
      </c>
      <c r="C934">
        <v>45.55</v>
      </c>
      <c r="E934" s="19">
        <v>43018</v>
      </c>
      <c r="F934">
        <v>67.400000000000006</v>
      </c>
      <c r="H934" s="19">
        <v>43018</v>
      </c>
      <c r="I934">
        <v>15.265000000000001</v>
      </c>
      <c r="K934" s="19"/>
      <c r="N934" s="19"/>
    </row>
    <row r="935" spans="2:14" x14ac:dyDescent="0.25">
      <c r="B935" s="19">
        <v>43019</v>
      </c>
      <c r="C935">
        <v>45.85</v>
      </c>
      <c r="E935" s="19">
        <v>43019</v>
      </c>
      <c r="F935">
        <v>67.37</v>
      </c>
      <c r="H935" s="19">
        <v>43019</v>
      </c>
      <c r="I935">
        <v>15.05</v>
      </c>
      <c r="K935" s="19"/>
      <c r="N935" s="19"/>
    </row>
    <row r="936" spans="2:14" x14ac:dyDescent="0.25">
      <c r="B936" s="19">
        <v>43020</v>
      </c>
      <c r="C936">
        <v>45.664999999999999</v>
      </c>
      <c r="E936" s="19">
        <v>43020</v>
      </c>
      <c r="F936">
        <v>66.61</v>
      </c>
      <c r="H936" s="19">
        <v>43020</v>
      </c>
      <c r="I936">
        <v>14.95</v>
      </c>
      <c r="K936" s="19"/>
      <c r="N936" s="19"/>
    </row>
    <row r="937" spans="2:14" x14ac:dyDescent="0.25">
      <c r="B937" s="19">
        <v>43021</v>
      </c>
      <c r="C937">
        <v>45.78</v>
      </c>
      <c r="E937" s="19">
        <v>43021</v>
      </c>
      <c r="F937">
        <v>66.05</v>
      </c>
      <c r="H937" s="19">
        <v>43021</v>
      </c>
      <c r="I937">
        <v>14.78</v>
      </c>
      <c r="K937" s="19"/>
      <c r="N937" s="19"/>
    </row>
    <row r="938" spans="2:14" x14ac:dyDescent="0.25">
      <c r="B938" s="19">
        <v>43024</v>
      </c>
      <c r="C938">
        <v>46.094999999999999</v>
      </c>
      <c r="E938" s="19">
        <v>43024</v>
      </c>
      <c r="F938">
        <v>66.2</v>
      </c>
      <c r="H938" s="19">
        <v>43024</v>
      </c>
      <c r="I938">
        <v>14.755000000000001</v>
      </c>
      <c r="K938" s="19"/>
      <c r="N938" s="19"/>
    </row>
    <row r="939" spans="2:14" x14ac:dyDescent="0.25">
      <c r="B939" s="19">
        <v>43025</v>
      </c>
      <c r="C939">
        <v>45.9</v>
      </c>
      <c r="E939" s="19">
        <v>43025</v>
      </c>
      <c r="F939">
        <v>66.28</v>
      </c>
      <c r="H939" s="19">
        <v>43025</v>
      </c>
      <c r="I939">
        <v>14.76</v>
      </c>
      <c r="K939" s="19"/>
      <c r="N939" s="19"/>
    </row>
    <row r="940" spans="2:14" x14ac:dyDescent="0.25">
      <c r="B940" s="19">
        <v>43026</v>
      </c>
      <c r="C940">
        <v>45.805</v>
      </c>
      <c r="E940" s="19">
        <v>43026</v>
      </c>
      <c r="F940">
        <v>67.430000000000007</v>
      </c>
      <c r="H940" s="19">
        <v>43026</v>
      </c>
      <c r="I940">
        <v>14.96</v>
      </c>
      <c r="K940" s="19"/>
      <c r="N940" s="19"/>
    </row>
    <row r="941" spans="2:14" x14ac:dyDescent="0.25">
      <c r="B941" s="19">
        <v>43027</v>
      </c>
      <c r="C941">
        <v>45.844999999999999</v>
      </c>
      <c r="E941" s="19">
        <v>43027</v>
      </c>
      <c r="F941">
        <v>67.319999999999993</v>
      </c>
      <c r="H941" s="19">
        <v>43027</v>
      </c>
      <c r="I941">
        <v>14.91</v>
      </c>
      <c r="K941" s="19"/>
      <c r="N941" s="19"/>
    </row>
    <row r="942" spans="2:14" x14ac:dyDescent="0.25">
      <c r="B942" s="19">
        <v>43028</v>
      </c>
      <c r="C942">
        <v>45.96</v>
      </c>
      <c r="E942" s="19">
        <v>43028</v>
      </c>
      <c r="F942">
        <v>68.05</v>
      </c>
      <c r="H942" s="19">
        <v>43028</v>
      </c>
      <c r="I942">
        <v>15.16</v>
      </c>
      <c r="K942" s="19"/>
      <c r="N942" s="19"/>
    </row>
    <row r="943" spans="2:14" x14ac:dyDescent="0.25">
      <c r="B943" s="19">
        <v>43031</v>
      </c>
      <c r="C943">
        <v>46.1</v>
      </c>
      <c r="E943" s="19">
        <v>43031</v>
      </c>
      <c r="F943">
        <v>67.900000000000006</v>
      </c>
      <c r="H943" s="19">
        <v>43031</v>
      </c>
      <c r="I943">
        <v>15.125</v>
      </c>
      <c r="K943" s="19"/>
      <c r="N943" s="19"/>
    </row>
    <row r="944" spans="2:14" x14ac:dyDescent="0.25">
      <c r="B944" s="19">
        <v>43032</v>
      </c>
      <c r="C944">
        <v>46.354999999999997</v>
      </c>
      <c r="E944" s="19">
        <v>43032</v>
      </c>
      <c r="F944">
        <v>68.08</v>
      </c>
      <c r="H944" s="19">
        <v>43032</v>
      </c>
      <c r="I944">
        <v>15.35</v>
      </c>
      <c r="K944" s="19"/>
      <c r="N944" s="19"/>
    </row>
    <row r="945" spans="2:14" x14ac:dyDescent="0.25">
      <c r="B945" s="19">
        <v>43033</v>
      </c>
      <c r="C945">
        <v>45.9</v>
      </c>
      <c r="E945" s="19">
        <v>43033</v>
      </c>
      <c r="F945">
        <v>67.48</v>
      </c>
      <c r="H945" s="19">
        <v>43033</v>
      </c>
      <c r="I945">
        <v>15.26</v>
      </c>
      <c r="K945" s="19"/>
      <c r="N945" s="19"/>
    </row>
    <row r="946" spans="2:14" x14ac:dyDescent="0.25">
      <c r="B946" s="19">
        <v>43034</v>
      </c>
      <c r="C946">
        <v>46.575000000000003</v>
      </c>
      <c r="E946" s="19">
        <v>43034</v>
      </c>
      <c r="F946">
        <v>68.319999999999993</v>
      </c>
      <c r="H946" s="19">
        <v>43034</v>
      </c>
      <c r="I946">
        <v>15.32</v>
      </c>
      <c r="K946" s="19"/>
      <c r="N946" s="19"/>
    </row>
    <row r="947" spans="2:14" x14ac:dyDescent="0.25">
      <c r="B947" s="19">
        <v>43035</v>
      </c>
      <c r="C947">
        <v>47.27</v>
      </c>
      <c r="E947" s="19">
        <v>43035</v>
      </c>
      <c r="F947">
        <v>68.5</v>
      </c>
      <c r="H947" s="19">
        <v>43035</v>
      </c>
      <c r="I947">
        <v>15.244999999999999</v>
      </c>
      <c r="K947" s="19"/>
      <c r="N947" s="19"/>
    </row>
    <row r="948" spans="2:14" x14ac:dyDescent="0.25">
      <c r="B948" s="19">
        <v>43038</v>
      </c>
      <c r="C948">
        <v>47.77</v>
      </c>
      <c r="E948" s="19">
        <v>43038</v>
      </c>
      <c r="F948">
        <v>68.88</v>
      </c>
      <c r="H948" s="19">
        <v>43038</v>
      </c>
      <c r="I948">
        <v>15.215</v>
      </c>
      <c r="K948" s="19"/>
      <c r="N948" s="19"/>
    </row>
    <row r="949" spans="2:14" x14ac:dyDescent="0.25">
      <c r="B949" s="19">
        <v>43039</v>
      </c>
      <c r="C949">
        <v>47.87</v>
      </c>
      <c r="E949" s="19">
        <v>43039</v>
      </c>
      <c r="F949">
        <v>67.040000000000006</v>
      </c>
      <c r="H949" s="19">
        <v>43039</v>
      </c>
      <c r="I949">
        <v>14.98</v>
      </c>
      <c r="K949" s="19"/>
      <c r="N949" s="19"/>
    </row>
    <row r="950" spans="2:14" x14ac:dyDescent="0.25">
      <c r="B950" s="19">
        <v>43040</v>
      </c>
      <c r="C950">
        <v>48.28</v>
      </c>
      <c r="E950" s="19">
        <v>43040</v>
      </c>
      <c r="F950">
        <v>65.95</v>
      </c>
      <c r="H950" s="19">
        <v>43040</v>
      </c>
      <c r="I950">
        <v>14.95</v>
      </c>
      <c r="K950" s="19"/>
      <c r="N950" s="19"/>
    </row>
    <row r="951" spans="2:14" x14ac:dyDescent="0.25">
      <c r="B951" s="19">
        <v>43041</v>
      </c>
      <c r="C951">
        <v>48.46</v>
      </c>
      <c r="E951" s="19">
        <v>43041</v>
      </c>
      <c r="F951">
        <v>66.180000000000007</v>
      </c>
      <c r="H951" s="19">
        <v>43041</v>
      </c>
      <c r="I951">
        <v>15.01</v>
      </c>
      <c r="K951" s="19"/>
      <c r="N951" s="19"/>
    </row>
    <row r="952" spans="2:14" x14ac:dyDescent="0.25">
      <c r="B952" s="19">
        <v>43042</v>
      </c>
      <c r="C952">
        <v>48.475000000000001</v>
      </c>
      <c r="E952" s="19">
        <v>43042</v>
      </c>
      <c r="F952">
        <v>65.760000000000005</v>
      </c>
      <c r="H952" s="19">
        <v>43042</v>
      </c>
      <c r="I952">
        <v>14.8</v>
      </c>
      <c r="K952" s="19"/>
      <c r="N952" s="19"/>
    </row>
    <row r="953" spans="2:14" x14ac:dyDescent="0.25">
      <c r="B953" s="19">
        <v>43045</v>
      </c>
      <c r="C953">
        <v>48.615000000000002</v>
      </c>
      <c r="E953" s="19">
        <v>43045</v>
      </c>
      <c r="F953">
        <v>64.959999999999994</v>
      </c>
      <c r="H953" s="19">
        <v>43045</v>
      </c>
      <c r="I953">
        <v>14.645</v>
      </c>
      <c r="K953" s="19"/>
      <c r="N953" s="19"/>
    </row>
    <row r="954" spans="2:14" x14ac:dyDescent="0.25">
      <c r="B954" s="19">
        <v>43046</v>
      </c>
      <c r="C954">
        <v>48.89</v>
      </c>
      <c r="E954" s="19">
        <v>43046</v>
      </c>
      <c r="F954">
        <v>64.75</v>
      </c>
      <c r="H954" s="19">
        <v>43046</v>
      </c>
      <c r="I954">
        <v>14.725</v>
      </c>
      <c r="K954" s="19"/>
      <c r="N954" s="19"/>
    </row>
    <row r="955" spans="2:14" x14ac:dyDescent="0.25">
      <c r="B955" s="19">
        <v>43047</v>
      </c>
      <c r="C955">
        <v>48.924999999999997</v>
      </c>
      <c r="E955" s="19">
        <v>43047</v>
      </c>
      <c r="F955">
        <v>64.819999999999993</v>
      </c>
      <c r="H955" s="19">
        <v>43047</v>
      </c>
      <c r="I955">
        <v>14.26</v>
      </c>
      <c r="K955" s="19"/>
      <c r="N955" s="19"/>
    </row>
    <row r="956" spans="2:14" x14ac:dyDescent="0.25">
      <c r="B956" s="19">
        <v>43048</v>
      </c>
      <c r="C956">
        <v>48.564999999999998</v>
      </c>
      <c r="E956" s="19">
        <v>43048</v>
      </c>
      <c r="F956">
        <v>64.62</v>
      </c>
      <c r="H956" s="19">
        <v>43048</v>
      </c>
      <c r="I956">
        <v>14.175000000000001</v>
      </c>
      <c r="K956" s="19"/>
      <c r="N956" s="19"/>
    </row>
    <row r="957" spans="2:14" x14ac:dyDescent="0.25">
      <c r="B957" s="19">
        <v>43049</v>
      </c>
      <c r="C957">
        <v>48.05</v>
      </c>
      <c r="E957" s="19">
        <v>43049</v>
      </c>
      <c r="F957">
        <v>64.760000000000005</v>
      </c>
      <c r="H957" s="19">
        <v>43049</v>
      </c>
      <c r="I957">
        <v>14.19</v>
      </c>
      <c r="K957" s="19"/>
      <c r="N957" s="19"/>
    </row>
    <row r="958" spans="2:14" x14ac:dyDescent="0.25">
      <c r="B958" s="19">
        <v>43052</v>
      </c>
      <c r="C958">
        <v>47.58</v>
      </c>
      <c r="E958" s="19">
        <v>43052</v>
      </c>
      <c r="F958">
        <v>64.23</v>
      </c>
      <c r="H958" s="19">
        <v>43052</v>
      </c>
      <c r="I958">
        <v>14.164999999999999</v>
      </c>
      <c r="K958" s="19"/>
      <c r="N958" s="19"/>
    </row>
    <row r="959" spans="2:14" x14ac:dyDescent="0.25">
      <c r="B959" s="19">
        <v>43053</v>
      </c>
      <c r="C959">
        <v>46.935000000000002</v>
      </c>
      <c r="E959" s="19">
        <v>43053</v>
      </c>
      <c r="F959">
        <v>63.45</v>
      </c>
      <c r="H959" s="19">
        <v>43053</v>
      </c>
      <c r="I959">
        <v>14.09</v>
      </c>
      <c r="K959" s="19"/>
      <c r="N959" s="19"/>
    </row>
    <row r="960" spans="2:14" x14ac:dyDescent="0.25">
      <c r="B960" s="19">
        <v>43054</v>
      </c>
      <c r="C960">
        <v>46.305</v>
      </c>
      <c r="E960" s="19">
        <v>43054</v>
      </c>
      <c r="F960">
        <v>63.83</v>
      </c>
      <c r="H960" s="19">
        <v>43054</v>
      </c>
      <c r="I960">
        <v>14.18</v>
      </c>
      <c r="K960" s="19"/>
      <c r="N960" s="19"/>
    </row>
    <row r="961" spans="2:14" x14ac:dyDescent="0.25">
      <c r="B961" s="19">
        <v>43055</v>
      </c>
      <c r="C961">
        <v>46.3</v>
      </c>
      <c r="E961" s="19">
        <v>43055</v>
      </c>
      <c r="F961">
        <v>63.79</v>
      </c>
      <c r="H961" s="19">
        <v>43055</v>
      </c>
      <c r="I961">
        <v>14.1</v>
      </c>
      <c r="K961" s="19"/>
      <c r="N961" s="19"/>
    </row>
    <row r="962" spans="2:14" x14ac:dyDescent="0.25">
      <c r="B962" s="19">
        <v>43056</v>
      </c>
      <c r="C962">
        <v>46.284999999999997</v>
      </c>
      <c r="E962" s="19">
        <v>43056</v>
      </c>
      <c r="F962">
        <v>63.15</v>
      </c>
      <c r="H962" s="19">
        <v>43056</v>
      </c>
      <c r="I962">
        <v>14.05</v>
      </c>
      <c r="K962" s="19"/>
      <c r="N962" s="19"/>
    </row>
    <row r="963" spans="2:14" x14ac:dyDescent="0.25">
      <c r="B963" s="19">
        <v>43059</v>
      </c>
      <c r="C963">
        <v>46.48</v>
      </c>
      <c r="E963" s="19">
        <v>43059</v>
      </c>
      <c r="F963">
        <v>62.85</v>
      </c>
      <c r="H963" s="19">
        <v>43059</v>
      </c>
      <c r="I963">
        <v>13.994999999999999</v>
      </c>
      <c r="K963" s="19"/>
      <c r="N963" s="19"/>
    </row>
    <row r="964" spans="2:14" x14ac:dyDescent="0.25">
      <c r="B964" s="19">
        <v>43060</v>
      </c>
      <c r="C964">
        <v>46.924999999999997</v>
      </c>
      <c r="E964" s="19">
        <v>43060</v>
      </c>
      <c r="F964">
        <v>62.78</v>
      </c>
      <c r="H964" s="19">
        <v>43060</v>
      </c>
      <c r="I964">
        <v>14</v>
      </c>
      <c r="K964" s="19"/>
      <c r="N964" s="19"/>
    </row>
    <row r="965" spans="2:14" x14ac:dyDescent="0.25">
      <c r="B965" s="19">
        <v>43061</v>
      </c>
      <c r="C965">
        <v>47.27</v>
      </c>
      <c r="E965" s="19">
        <v>43061</v>
      </c>
      <c r="F965">
        <v>62.95</v>
      </c>
      <c r="H965" s="19">
        <v>43061</v>
      </c>
      <c r="I965">
        <v>13.91</v>
      </c>
      <c r="K965" s="19"/>
      <c r="N965" s="19"/>
    </row>
    <row r="966" spans="2:14" x14ac:dyDescent="0.25">
      <c r="B966" s="19">
        <v>43062</v>
      </c>
      <c r="C966">
        <v>47.4</v>
      </c>
      <c r="E966" s="19">
        <v>43062</v>
      </c>
      <c r="F966">
        <v>62.97</v>
      </c>
      <c r="H966" s="19">
        <v>43062</v>
      </c>
      <c r="I966">
        <v>13.925000000000001</v>
      </c>
      <c r="K966" s="19"/>
      <c r="N966" s="19"/>
    </row>
    <row r="967" spans="2:14" x14ac:dyDescent="0.25">
      <c r="B967" s="19">
        <v>43063</v>
      </c>
      <c r="C967">
        <v>47.35</v>
      </c>
      <c r="E967" s="19">
        <v>43063</v>
      </c>
      <c r="F967">
        <v>63.64</v>
      </c>
      <c r="H967" s="19">
        <v>43063</v>
      </c>
      <c r="I967">
        <v>14.125</v>
      </c>
      <c r="K967" s="19"/>
      <c r="N967" s="19"/>
    </row>
    <row r="968" spans="2:14" x14ac:dyDescent="0.25">
      <c r="B968" s="19">
        <v>43066</v>
      </c>
      <c r="C968">
        <v>47.265000000000001</v>
      </c>
      <c r="E968" s="19">
        <v>43066</v>
      </c>
      <c r="F968">
        <v>63.16</v>
      </c>
      <c r="H968" s="19">
        <v>43066</v>
      </c>
      <c r="I968">
        <v>14.03</v>
      </c>
      <c r="K968" s="19"/>
      <c r="N968" s="19"/>
    </row>
    <row r="969" spans="2:14" x14ac:dyDescent="0.25">
      <c r="B969" s="19">
        <v>43067</v>
      </c>
      <c r="C969">
        <v>47.51</v>
      </c>
      <c r="E969" s="19">
        <v>43067</v>
      </c>
      <c r="F969">
        <v>63.44</v>
      </c>
      <c r="H969" s="19">
        <v>43067</v>
      </c>
      <c r="I969">
        <v>14.045</v>
      </c>
      <c r="K969" s="19"/>
      <c r="N969" s="19"/>
    </row>
    <row r="970" spans="2:14" x14ac:dyDescent="0.25">
      <c r="B970" s="19">
        <v>43068</v>
      </c>
      <c r="C970">
        <v>47.704999999999998</v>
      </c>
      <c r="E970" s="19">
        <v>43068</v>
      </c>
      <c r="F970">
        <v>64.290000000000006</v>
      </c>
      <c r="H970" s="19">
        <v>43068</v>
      </c>
      <c r="I970">
        <v>14.18</v>
      </c>
      <c r="K970" s="19"/>
      <c r="N970" s="19"/>
    </row>
    <row r="971" spans="2:14" x14ac:dyDescent="0.25">
      <c r="B971" s="19">
        <v>43069</v>
      </c>
      <c r="C971">
        <v>47.405000000000001</v>
      </c>
      <c r="E971" s="19">
        <v>43069</v>
      </c>
      <c r="F971">
        <v>63.58</v>
      </c>
      <c r="H971" s="19">
        <v>43069</v>
      </c>
      <c r="I971">
        <v>14.154999999999999</v>
      </c>
      <c r="K971" s="19"/>
      <c r="N971" s="19"/>
    </row>
    <row r="972" spans="2:14" x14ac:dyDescent="0.25">
      <c r="B972" s="19">
        <v>43070</v>
      </c>
      <c r="C972">
        <v>47.395000000000003</v>
      </c>
      <c r="E972" s="19">
        <v>43070</v>
      </c>
      <c r="F972">
        <v>62.85</v>
      </c>
      <c r="H972" s="19">
        <v>43070</v>
      </c>
      <c r="I972">
        <v>14.03</v>
      </c>
      <c r="K972" s="19"/>
      <c r="N972" s="19"/>
    </row>
    <row r="973" spans="2:14" x14ac:dyDescent="0.25">
      <c r="B973" s="19">
        <v>43073</v>
      </c>
      <c r="C973">
        <v>47.82</v>
      </c>
      <c r="E973" s="19">
        <v>43073</v>
      </c>
      <c r="F973">
        <v>64.06</v>
      </c>
      <c r="H973" s="19">
        <v>43073</v>
      </c>
      <c r="I973">
        <v>14.24</v>
      </c>
      <c r="K973" s="19"/>
      <c r="N973" s="19"/>
    </row>
    <row r="974" spans="2:14" x14ac:dyDescent="0.25">
      <c r="B974" s="19">
        <v>43074</v>
      </c>
      <c r="C974">
        <v>47.435000000000002</v>
      </c>
      <c r="E974" s="19">
        <v>43074</v>
      </c>
      <c r="F974">
        <v>63.51</v>
      </c>
      <c r="H974" s="19">
        <v>43074</v>
      </c>
      <c r="I974">
        <v>14.08</v>
      </c>
      <c r="K974" s="19"/>
      <c r="N974" s="19"/>
    </row>
    <row r="975" spans="2:14" x14ac:dyDescent="0.25">
      <c r="B975" s="19">
        <v>43075</v>
      </c>
      <c r="C975">
        <v>47.365000000000002</v>
      </c>
      <c r="E975" s="19">
        <v>43075</v>
      </c>
      <c r="F975">
        <v>62.86</v>
      </c>
      <c r="H975" s="19">
        <v>43075</v>
      </c>
      <c r="I975">
        <v>13.865</v>
      </c>
      <c r="K975" s="19"/>
      <c r="N975" s="19"/>
    </row>
    <row r="976" spans="2:14" x14ac:dyDescent="0.25">
      <c r="B976" s="19">
        <v>43076</v>
      </c>
      <c r="C976">
        <v>47.46</v>
      </c>
      <c r="E976" s="19">
        <v>43076</v>
      </c>
      <c r="F976">
        <v>63.14</v>
      </c>
      <c r="H976" s="19">
        <v>43076</v>
      </c>
      <c r="I976">
        <v>14.125</v>
      </c>
      <c r="K976" s="19"/>
      <c r="N976" s="19"/>
    </row>
    <row r="977" spans="2:14" x14ac:dyDescent="0.25">
      <c r="B977" s="19">
        <v>43077</v>
      </c>
      <c r="C977">
        <v>47.024999999999999</v>
      </c>
      <c r="E977" s="19">
        <v>43077</v>
      </c>
      <c r="F977">
        <v>65.040000000000006</v>
      </c>
      <c r="H977" s="19">
        <v>43077</v>
      </c>
      <c r="I977">
        <v>14.67</v>
      </c>
      <c r="K977" s="19"/>
      <c r="N977" s="19"/>
    </row>
    <row r="978" spans="2:14" x14ac:dyDescent="0.25">
      <c r="B978" s="19">
        <v>43080</v>
      </c>
      <c r="C978">
        <v>47.09</v>
      </c>
      <c r="E978" s="19">
        <v>43080</v>
      </c>
      <c r="F978">
        <v>64.459999999999994</v>
      </c>
      <c r="H978" s="19">
        <v>43080</v>
      </c>
      <c r="I978">
        <v>14.61</v>
      </c>
      <c r="K978" s="19"/>
      <c r="N978" s="19"/>
    </row>
    <row r="979" spans="2:14" x14ac:dyDescent="0.25">
      <c r="B979" s="19">
        <v>43081</v>
      </c>
      <c r="C979">
        <v>47.774999999999999</v>
      </c>
      <c r="E979" s="19">
        <v>43081</v>
      </c>
      <c r="F979">
        <v>64.83</v>
      </c>
      <c r="H979" s="19">
        <v>43081</v>
      </c>
      <c r="I979">
        <v>14.675000000000001</v>
      </c>
      <c r="K979" s="19"/>
      <c r="N979" s="19"/>
    </row>
    <row r="980" spans="2:14" x14ac:dyDescent="0.25">
      <c r="B980" s="19">
        <v>43082</v>
      </c>
      <c r="C980">
        <v>47.37</v>
      </c>
      <c r="E980" s="19">
        <v>43082</v>
      </c>
      <c r="F980">
        <v>64.36</v>
      </c>
      <c r="H980" s="19">
        <v>43082</v>
      </c>
      <c r="I980">
        <v>14.515000000000001</v>
      </c>
      <c r="K980" s="19"/>
      <c r="N980" s="19"/>
    </row>
    <row r="981" spans="2:14" x14ac:dyDescent="0.25">
      <c r="B981" s="19">
        <v>43083</v>
      </c>
      <c r="C981">
        <v>47.204999999999998</v>
      </c>
      <c r="E981" s="19">
        <v>43083</v>
      </c>
      <c r="F981">
        <v>63.49</v>
      </c>
      <c r="H981" s="19">
        <v>43083</v>
      </c>
      <c r="I981">
        <v>14.335000000000001</v>
      </c>
      <c r="K981" s="19"/>
      <c r="N981" s="19"/>
    </row>
    <row r="982" spans="2:14" x14ac:dyDescent="0.25">
      <c r="B982" s="19">
        <v>43084</v>
      </c>
      <c r="C982">
        <v>46.51</v>
      </c>
      <c r="E982" s="19">
        <v>43084</v>
      </c>
      <c r="F982">
        <v>62.92</v>
      </c>
      <c r="H982" s="19">
        <v>43084</v>
      </c>
      <c r="I982">
        <v>14.145</v>
      </c>
      <c r="K982" s="19"/>
      <c r="N982" s="19"/>
    </row>
    <row r="983" spans="2:14" x14ac:dyDescent="0.25">
      <c r="B983" s="19">
        <v>43087</v>
      </c>
      <c r="C983">
        <v>47.354999999999997</v>
      </c>
      <c r="E983" s="19">
        <v>43087</v>
      </c>
      <c r="F983">
        <v>63.36</v>
      </c>
      <c r="H983" s="19">
        <v>43087</v>
      </c>
      <c r="I983">
        <v>14.27</v>
      </c>
      <c r="K983" s="19"/>
      <c r="N983" s="19"/>
    </row>
    <row r="984" spans="2:14" x14ac:dyDescent="0.25">
      <c r="B984" s="19">
        <v>43088</v>
      </c>
      <c r="C984">
        <v>46.15</v>
      </c>
      <c r="E984" s="19">
        <v>43088</v>
      </c>
      <c r="F984">
        <v>63.06</v>
      </c>
      <c r="H984" s="19">
        <v>43088</v>
      </c>
      <c r="I984">
        <v>14.27</v>
      </c>
      <c r="K984" s="19"/>
      <c r="N984" s="19"/>
    </row>
    <row r="985" spans="2:14" x14ac:dyDescent="0.25">
      <c r="B985" s="19">
        <v>43089</v>
      </c>
      <c r="C985">
        <v>46.22</v>
      </c>
      <c r="E985" s="19">
        <v>43089</v>
      </c>
      <c r="F985">
        <v>62.83</v>
      </c>
      <c r="H985" s="19">
        <v>43089</v>
      </c>
      <c r="I985">
        <v>14.154999999999999</v>
      </c>
      <c r="K985" s="19"/>
      <c r="N985" s="19"/>
    </row>
    <row r="986" spans="2:14" x14ac:dyDescent="0.25">
      <c r="B986" s="19">
        <v>43090</v>
      </c>
      <c r="C986">
        <v>46.615000000000002</v>
      </c>
      <c r="E986" s="19">
        <v>43090</v>
      </c>
      <c r="F986">
        <v>63.29</v>
      </c>
      <c r="H986" s="19">
        <v>43090</v>
      </c>
      <c r="I986">
        <v>14.1</v>
      </c>
      <c r="K986" s="19"/>
      <c r="N986" s="19"/>
    </row>
    <row r="987" spans="2:14" x14ac:dyDescent="0.25">
      <c r="B987" s="19">
        <v>43091</v>
      </c>
      <c r="C987">
        <v>46.47</v>
      </c>
      <c r="E987" s="19">
        <v>43091</v>
      </c>
      <c r="F987">
        <v>62.95</v>
      </c>
      <c r="H987" s="19">
        <v>43091</v>
      </c>
      <c r="I987">
        <v>14</v>
      </c>
      <c r="K987" s="19"/>
      <c r="N987" s="19"/>
    </row>
    <row r="988" spans="2:14" x14ac:dyDescent="0.25">
      <c r="B988" s="19">
        <v>43096</v>
      </c>
      <c r="C988">
        <v>46.534999999999997</v>
      </c>
      <c r="E988" s="19">
        <v>43096</v>
      </c>
      <c r="F988">
        <v>62.72</v>
      </c>
      <c r="H988" s="19">
        <v>43096</v>
      </c>
      <c r="I988">
        <v>13.9</v>
      </c>
      <c r="K988" s="19"/>
      <c r="N988" s="19"/>
    </row>
    <row r="989" spans="2:14" x14ac:dyDescent="0.25">
      <c r="B989" s="19">
        <v>43097</v>
      </c>
      <c r="C989">
        <v>46.335000000000001</v>
      </c>
      <c r="E989" s="19">
        <v>43097</v>
      </c>
      <c r="F989">
        <v>62.6</v>
      </c>
      <c r="H989" s="19">
        <v>43097</v>
      </c>
      <c r="I989">
        <v>13.87</v>
      </c>
      <c r="K989" s="19"/>
      <c r="N989" s="19"/>
    </row>
    <row r="990" spans="2:14" x14ac:dyDescent="0.25">
      <c r="B990" s="19">
        <v>43098</v>
      </c>
      <c r="C990">
        <v>46.045000000000002</v>
      </c>
      <c r="E990" s="19">
        <v>43098</v>
      </c>
      <c r="F990">
        <v>62.25</v>
      </c>
      <c r="H990" s="19">
        <v>43098</v>
      </c>
      <c r="I990">
        <v>13.8</v>
      </c>
      <c r="K990" s="19"/>
      <c r="N990" s="19"/>
    </row>
    <row r="991" spans="2:14" x14ac:dyDescent="0.25">
      <c r="B991" s="19">
        <v>43102</v>
      </c>
      <c r="C991">
        <v>46.06</v>
      </c>
      <c r="E991" s="19">
        <v>43102</v>
      </c>
      <c r="F991">
        <v>62.09</v>
      </c>
      <c r="H991" s="19">
        <v>43102</v>
      </c>
      <c r="I991">
        <v>13.97</v>
      </c>
      <c r="K991" s="19"/>
      <c r="N991" s="19"/>
    </row>
    <row r="992" spans="2:14" x14ac:dyDescent="0.25">
      <c r="B992" s="19">
        <v>43103</v>
      </c>
      <c r="C992">
        <v>46.56</v>
      </c>
      <c r="E992" s="19">
        <v>43103</v>
      </c>
      <c r="F992">
        <v>62.64</v>
      </c>
      <c r="H992" s="19">
        <v>43103</v>
      </c>
      <c r="I992">
        <v>14.055</v>
      </c>
      <c r="K992" s="19"/>
      <c r="N992" s="19"/>
    </row>
    <row r="993" spans="2:14" x14ac:dyDescent="0.25">
      <c r="B993" s="19">
        <v>43104</v>
      </c>
      <c r="C993">
        <v>47.48</v>
      </c>
      <c r="E993" s="19">
        <v>43104</v>
      </c>
      <c r="F993">
        <v>63.77</v>
      </c>
      <c r="H993" s="19">
        <v>43104</v>
      </c>
      <c r="I993">
        <v>14.69</v>
      </c>
      <c r="K993" s="19"/>
      <c r="N993" s="19"/>
    </row>
    <row r="994" spans="2:14" x14ac:dyDescent="0.25">
      <c r="B994" s="19">
        <v>43105</v>
      </c>
      <c r="C994">
        <v>47.825000000000003</v>
      </c>
      <c r="E994" s="19">
        <v>43105</v>
      </c>
      <c r="F994">
        <v>63.89</v>
      </c>
      <c r="H994" s="19">
        <v>43105</v>
      </c>
      <c r="I994">
        <v>14.664999999999999</v>
      </c>
      <c r="K994" s="19"/>
      <c r="N994" s="19"/>
    </row>
    <row r="995" spans="2:14" x14ac:dyDescent="0.25">
      <c r="B995" s="19">
        <v>43108</v>
      </c>
      <c r="C995">
        <v>48.034999999999997</v>
      </c>
      <c r="E995" s="19">
        <v>43108</v>
      </c>
      <c r="F995">
        <v>64.5</v>
      </c>
      <c r="H995" s="19">
        <v>43108</v>
      </c>
      <c r="I995">
        <v>14.824999999999999</v>
      </c>
      <c r="K995" s="19"/>
      <c r="N995" s="19"/>
    </row>
    <row r="996" spans="2:14" x14ac:dyDescent="0.25">
      <c r="B996" s="19">
        <v>43109</v>
      </c>
      <c r="C996">
        <v>48.3</v>
      </c>
      <c r="E996" s="19">
        <v>43109</v>
      </c>
      <c r="F996">
        <v>65.430000000000007</v>
      </c>
      <c r="H996" s="19">
        <v>43109</v>
      </c>
      <c r="I996">
        <v>14.89</v>
      </c>
      <c r="K996" s="19"/>
      <c r="N996" s="19"/>
    </row>
    <row r="997" spans="2:14" x14ac:dyDescent="0.25">
      <c r="B997" s="19">
        <v>43110</v>
      </c>
      <c r="C997">
        <v>48.15</v>
      </c>
      <c r="E997" s="19">
        <v>43110</v>
      </c>
      <c r="F997">
        <v>66.430000000000007</v>
      </c>
      <c r="H997" s="19">
        <v>43110</v>
      </c>
      <c r="I997">
        <v>15.16</v>
      </c>
      <c r="K997" s="19"/>
      <c r="N997" s="19"/>
    </row>
    <row r="998" spans="2:14" x14ac:dyDescent="0.25">
      <c r="B998" s="19">
        <v>43111</v>
      </c>
      <c r="C998">
        <v>48.145000000000003</v>
      </c>
      <c r="E998" s="19">
        <v>43111</v>
      </c>
      <c r="F998">
        <v>67</v>
      </c>
      <c r="H998" s="19">
        <v>43111</v>
      </c>
      <c r="I998">
        <v>15.234999999999999</v>
      </c>
      <c r="K998" s="19"/>
      <c r="N998" s="19"/>
    </row>
    <row r="999" spans="2:14" x14ac:dyDescent="0.25">
      <c r="B999" s="19">
        <v>43112</v>
      </c>
      <c r="C999">
        <v>48.61</v>
      </c>
      <c r="E999" s="19">
        <v>43112</v>
      </c>
      <c r="F999">
        <v>67.459999999999994</v>
      </c>
      <c r="H999" s="19">
        <v>43112</v>
      </c>
      <c r="I999">
        <v>15.22</v>
      </c>
      <c r="K999" s="19"/>
      <c r="N999" s="19"/>
    </row>
    <row r="1000" spans="2:14" x14ac:dyDescent="0.25">
      <c r="B1000" s="19">
        <v>43115</v>
      </c>
      <c r="C1000">
        <v>48.575000000000003</v>
      </c>
      <c r="E1000" s="19">
        <v>43115</v>
      </c>
      <c r="F1000">
        <v>67.53</v>
      </c>
      <c r="H1000" s="19">
        <v>43115</v>
      </c>
      <c r="I1000">
        <v>15.285</v>
      </c>
      <c r="K1000" s="19"/>
      <c r="N1000" s="19"/>
    </row>
    <row r="1001" spans="2:14" x14ac:dyDescent="0.25">
      <c r="B1001" s="19">
        <v>43116</v>
      </c>
      <c r="C1001">
        <v>48.14</v>
      </c>
      <c r="E1001" s="19">
        <v>43116</v>
      </c>
      <c r="F1001">
        <v>67.010000000000005</v>
      </c>
      <c r="H1001" s="19">
        <v>43116</v>
      </c>
      <c r="I1001">
        <v>15.26</v>
      </c>
      <c r="K1001" s="19"/>
      <c r="N1001" s="19"/>
    </row>
    <row r="1002" spans="2:14" x14ac:dyDescent="0.25">
      <c r="B1002" s="19">
        <v>43117</v>
      </c>
      <c r="C1002">
        <v>47.88</v>
      </c>
      <c r="E1002" s="19">
        <v>43117</v>
      </c>
      <c r="F1002">
        <v>66.38</v>
      </c>
      <c r="H1002" s="19">
        <v>43117</v>
      </c>
      <c r="I1002">
        <v>15.195</v>
      </c>
      <c r="K1002" s="19"/>
      <c r="N1002" s="19"/>
    </row>
    <row r="1003" spans="2:14" x14ac:dyDescent="0.25">
      <c r="B1003" s="19">
        <v>43118</v>
      </c>
      <c r="C1003">
        <v>47.585000000000001</v>
      </c>
      <c r="E1003" s="19">
        <v>43118</v>
      </c>
      <c r="F1003">
        <v>66.63</v>
      </c>
      <c r="H1003" s="19">
        <v>43118</v>
      </c>
      <c r="I1003">
        <v>15.27</v>
      </c>
      <c r="K1003" s="19"/>
      <c r="N1003" s="19"/>
    </row>
    <row r="1004" spans="2:14" x14ac:dyDescent="0.25">
      <c r="B1004" s="19">
        <v>43119</v>
      </c>
      <c r="C1004">
        <v>47.29</v>
      </c>
      <c r="E1004" s="19">
        <v>43119</v>
      </c>
      <c r="F1004">
        <v>66.95</v>
      </c>
      <c r="H1004" s="19">
        <v>43119</v>
      </c>
      <c r="I1004">
        <v>15.205</v>
      </c>
      <c r="K1004" s="19"/>
      <c r="N1004" s="19"/>
    </row>
    <row r="1005" spans="2:14" x14ac:dyDescent="0.25">
      <c r="B1005" s="19">
        <v>43122</v>
      </c>
      <c r="C1005">
        <v>47.905000000000001</v>
      </c>
      <c r="E1005" s="19">
        <v>43122</v>
      </c>
      <c r="F1005">
        <v>67.55</v>
      </c>
      <c r="H1005" s="19">
        <v>43122</v>
      </c>
      <c r="I1005">
        <v>15.44</v>
      </c>
      <c r="K1005" s="19"/>
      <c r="N1005" s="19"/>
    </row>
    <row r="1006" spans="2:14" x14ac:dyDescent="0.25">
      <c r="B1006" s="19">
        <v>43123</v>
      </c>
      <c r="C1006">
        <v>47.45</v>
      </c>
      <c r="E1006" s="19">
        <v>43123</v>
      </c>
      <c r="F1006">
        <v>67.58</v>
      </c>
      <c r="H1006" s="19">
        <v>43123</v>
      </c>
      <c r="I1006">
        <v>15.324999999999999</v>
      </c>
      <c r="K1006" s="19"/>
      <c r="N1006" s="19"/>
    </row>
    <row r="1007" spans="2:14" x14ac:dyDescent="0.25">
      <c r="B1007" s="19">
        <v>43124</v>
      </c>
      <c r="C1007">
        <v>47.55</v>
      </c>
      <c r="E1007" s="19">
        <v>43124</v>
      </c>
      <c r="F1007">
        <v>67.180000000000007</v>
      </c>
      <c r="H1007" s="19">
        <v>43124</v>
      </c>
      <c r="I1007">
        <v>15.3</v>
      </c>
      <c r="K1007" s="19"/>
      <c r="N1007" s="19"/>
    </row>
    <row r="1008" spans="2:14" x14ac:dyDescent="0.25">
      <c r="B1008" s="19">
        <v>43125</v>
      </c>
      <c r="C1008">
        <v>47.54</v>
      </c>
      <c r="E1008" s="19">
        <v>43125</v>
      </c>
      <c r="F1008">
        <v>68</v>
      </c>
      <c r="H1008" s="19">
        <v>43125</v>
      </c>
      <c r="I1008">
        <v>15.455</v>
      </c>
      <c r="K1008" s="19"/>
      <c r="N1008" s="19"/>
    </row>
    <row r="1009" spans="2:14" x14ac:dyDescent="0.25">
      <c r="B1009" s="19">
        <v>43126</v>
      </c>
      <c r="C1009">
        <v>47.52</v>
      </c>
      <c r="E1009" s="19">
        <v>43126</v>
      </c>
      <c r="F1009">
        <v>68.28</v>
      </c>
      <c r="H1009" s="19">
        <v>43126</v>
      </c>
      <c r="I1009">
        <v>15.42</v>
      </c>
      <c r="K1009" s="19"/>
      <c r="N1009" s="19"/>
    </row>
    <row r="1010" spans="2:14" x14ac:dyDescent="0.25">
      <c r="B1010" s="19">
        <v>43129</v>
      </c>
      <c r="C1010">
        <v>47.295000000000002</v>
      </c>
      <c r="E1010" s="19">
        <v>43129</v>
      </c>
      <c r="F1010">
        <v>68.349999999999994</v>
      </c>
      <c r="H1010" s="19">
        <v>43129</v>
      </c>
      <c r="I1010">
        <v>15.41</v>
      </c>
      <c r="K1010" s="19"/>
      <c r="N1010" s="19"/>
    </row>
    <row r="1011" spans="2:14" x14ac:dyDescent="0.25">
      <c r="B1011" s="19">
        <v>43130</v>
      </c>
      <c r="C1011">
        <v>46.5</v>
      </c>
      <c r="E1011" s="19">
        <v>43130</v>
      </c>
      <c r="F1011">
        <v>67.23</v>
      </c>
      <c r="H1011" s="19">
        <v>43130</v>
      </c>
      <c r="I1011">
        <v>15.175000000000001</v>
      </c>
      <c r="K1011" s="19"/>
      <c r="N1011" s="19"/>
    </row>
    <row r="1012" spans="2:14" x14ac:dyDescent="0.25">
      <c r="B1012" s="19">
        <v>43131</v>
      </c>
      <c r="C1012">
        <v>46.634999999999998</v>
      </c>
      <c r="E1012" s="19">
        <v>43131</v>
      </c>
      <c r="F1012">
        <v>66.599999999999994</v>
      </c>
      <c r="H1012" s="19">
        <v>43131</v>
      </c>
      <c r="I1012">
        <v>15.175000000000001</v>
      </c>
      <c r="K1012" s="19"/>
      <c r="N1012" s="19"/>
    </row>
    <row r="1013" spans="2:14" x14ac:dyDescent="0.25">
      <c r="B1013" s="19">
        <v>43132</v>
      </c>
      <c r="C1013">
        <v>47.06</v>
      </c>
      <c r="E1013" s="19">
        <v>43132</v>
      </c>
      <c r="F1013">
        <v>66.63</v>
      </c>
      <c r="H1013" s="19">
        <v>43132</v>
      </c>
      <c r="I1013">
        <v>15.22</v>
      </c>
      <c r="K1013" s="19"/>
      <c r="N1013" s="19"/>
    </row>
    <row r="1014" spans="2:14" x14ac:dyDescent="0.25">
      <c r="B1014" s="19">
        <v>43133</v>
      </c>
      <c r="C1014">
        <v>46.134999999999998</v>
      </c>
      <c r="E1014" s="19">
        <v>43133</v>
      </c>
      <c r="F1014">
        <v>66</v>
      </c>
      <c r="H1014" s="19">
        <v>43133</v>
      </c>
      <c r="I1014">
        <v>15.035</v>
      </c>
      <c r="K1014" s="19"/>
      <c r="N1014" s="19"/>
    </row>
    <row r="1015" spans="2:14" x14ac:dyDescent="0.25">
      <c r="B1015" s="19">
        <v>43136</v>
      </c>
      <c r="C1015">
        <v>45.36</v>
      </c>
      <c r="E1015" s="19">
        <v>43136</v>
      </c>
      <c r="F1015">
        <v>65.38</v>
      </c>
      <c r="H1015" s="19">
        <v>43136</v>
      </c>
      <c r="I1015">
        <v>14.82</v>
      </c>
      <c r="K1015" s="19"/>
      <c r="N1015" s="19"/>
    </row>
    <row r="1016" spans="2:14" x14ac:dyDescent="0.25">
      <c r="B1016" s="19">
        <v>43137</v>
      </c>
      <c r="C1016">
        <v>43.87</v>
      </c>
      <c r="E1016" s="19">
        <v>43137</v>
      </c>
      <c r="F1016">
        <v>63.25</v>
      </c>
      <c r="H1016" s="19">
        <v>43137</v>
      </c>
      <c r="I1016">
        <v>14.335000000000001</v>
      </c>
      <c r="K1016" s="19"/>
      <c r="N1016" s="19"/>
    </row>
    <row r="1017" spans="2:14" x14ac:dyDescent="0.25">
      <c r="B1017" s="19">
        <v>43138</v>
      </c>
      <c r="C1017">
        <v>44.76</v>
      </c>
      <c r="E1017" s="19">
        <v>43138</v>
      </c>
      <c r="F1017">
        <v>64.55</v>
      </c>
      <c r="H1017" s="19">
        <v>43138</v>
      </c>
      <c r="I1017">
        <v>14.58</v>
      </c>
      <c r="K1017" s="19"/>
      <c r="N1017" s="19"/>
    </row>
    <row r="1018" spans="2:14" x14ac:dyDescent="0.25">
      <c r="B1018" s="19">
        <v>43139</v>
      </c>
      <c r="C1018">
        <v>45.075000000000003</v>
      </c>
      <c r="E1018" s="19">
        <v>43139</v>
      </c>
      <c r="F1018">
        <v>64.42</v>
      </c>
      <c r="H1018" s="19">
        <v>43139</v>
      </c>
      <c r="I1018">
        <v>14.35</v>
      </c>
      <c r="K1018" s="19"/>
      <c r="N1018" s="19"/>
    </row>
    <row r="1019" spans="2:14" x14ac:dyDescent="0.25">
      <c r="B1019" s="19">
        <v>43140</v>
      </c>
      <c r="C1019">
        <v>44.704999999999998</v>
      </c>
      <c r="E1019" s="19">
        <v>43140</v>
      </c>
      <c r="F1019">
        <v>63.2</v>
      </c>
      <c r="H1019" s="19">
        <v>43140</v>
      </c>
      <c r="I1019">
        <v>14</v>
      </c>
      <c r="K1019" s="19"/>
      <c r="N1019" s="19"/>
    </row>
    <row r="1020" spans="2:14" x14ac:dyDescent="0.25">
      <c r="B1020" s="19">
        <v>43143</v>
      </c>
      <c r="C1020">
        <v>45.244999999999997</v>
      </c>
      <c r="E1020" s="19">
        <v>43143</v>
      </c>
      <c r="F1020">
        <v>63.37</v>
      </c>
      <c r="H1020" s="19">
        <v>43143</v>
      </c>
      <c r="I1020">
        <v>14.005000000000001</v>
      </c>
      <c r="K1020" s="19"/>
      <c r="N1020" s="19"/>
    </row>
    <row r="1021" spans="2:14" x14ac:dyDescent="0.25">
      <c r="B1021" s="19">
        <v>43144</v>
      </c>
      <c r="C1021">
        <v>45.34</v>
      </c>
      <c r="E1021" s="19">
        <v>43144</v>
      </c>
      <c r="F1021">
        <v>63</v>
      </c>
      <c r="H1021" s="19">
        <v>43144</v>
      </c>
      <c r="I1021">
        <v>13.965</v>
      </c>
      <c r="K1021" s="19"/>
      <c r="N1021" s="19"/>
    </row>
    <row r="1022" spans="2:14" x14ac:dyDescent="0.25">
      <c r="B1022" s="19">
        <v>43145</v>
      </c>
      <c r="C1022">
        <v>45.33</v>
      </c>
      <c r="E1022" s="19">
        <v>43145</v>
      </c>
      <c r="F1022">
        <v>63.58</v>
      </c>
      <c r="H1022" s="19">
        <v>43145</v>
      </c>
      <c r="I1022">
        <v>13.57</v>
      </c>
      <c r="K1022" s="19"/>
      <c r="N1022" s="19"/>
    </row>
    <row r="1023" spans="2:14" x14ac:dyDescent="0.25">
      <c r="B1023" s="19">
        <v>43146</v>
      </c>
      <c r="C1023">
        <v>45.164999999999999</v>
      </c>
      <c r="E1023" s="19">
        <v>43146</v>
      </c>
      <c r="F1023">
        <v>63.9</v>
      </c>
      <c r="H1023" s="19">
        <v>43146</v>
      </c>
      <c r="I1023">
        <v>13.595000000000001</v>
      </c>
      <c r="K1023" s="19"/>
      <c r="N1023" s="19"/>
    </row>
    <row r="1024" spans="2:14" x14ac:dyDescent="0.25">
      <c r="B1024" s="19">
        <v>43147</v>
      </c>
      <c r="C1024">
        <v>45.9</v>
      </c>
      <c r="E1024" s="19">
        <v>43147</v>
      </c>
      <c r="F1024">
        <v>64.650000000000006</v>
      </c>
      <c r="H1024" s="19">
        <v>43147</v>
      </c>
      <c r="I1024">
        <v>13.625</v>
      </c>
      <c r="K1024" s="19"/>
      <c r="N1024" s="19"/>
    </row>
    <row r="1025" spans="2:14" x14ac:dyDescent="0.25">
      <c r="B1025" s="19">
        <v>43150</v>
      </c>
      <c r="C1025">
        <v>45.89</v>
      </c>
      <c r="E1025" s="19">
        <v>43150</v>
      </c>
      <c r="F1025">
        <v>64.61</v>
      </c>
      <c r="H1025" s="19">
        <v>43150</v>
      </c>
      <c r="I1025">
        <v>13.67</v>
      </c>
      <c r="K1025" s="19"/>
      <c r="N1025" s="19"/>
    </row>
    <row r="1026" spans="2:14" x14ac:dyDescent="0.25">
      <c r="B1026" s="19">
        <v>43151</v>
      </c>
      <c r="C1026">
        <v>46.6</v>
      </c>
      <c r="E1026" s="19">
        <v>43151</v>
      </c>
      <c r="F1026">
        <v>65.08</v>
      </c>
      <c r="H1026" s="19">
        <v>43151</v>
      </c>
      <c r="I1026">
        <v>13.865</v>
      </c>
      <c r="K1026" s="19"/>
      <c r="N1026" s="19"/>
    </row>
    <row r="1027" spans="2:14" x14ac:dyDescent="0.25">
      <c r="B1027" s="19">
        <v>43152</v>
      </c>
      <c r="C1027">
        <v>46.82</v>
      </c>
      <c r="E1027" s="19">
        <v>43152</v>
      </c>
      <c r="F1027">
        <v>64.95</v>
      </c>
      <c r="H1027" s="19">
        <v>43152</v>
      </c>
      <c r="I1027">
        <v>13.994999999999999</v>
      </c>
      <c r="K1027" s="19"/>
      <c r="N1027" s="19"/>
    </row>
    <row r="1028" spans="2:14" x14ac:dyDescent="0.25">
      <c r="B1028" s="19">
        <v>43153</v>
      </c>
      <c r="C1028">
        <v>46.875</v>
      </c>
      <c r="E1028" s="19">
        <v>43153</v>
      </c>
      <c r="F1028">
        <v>65.099999999999994</v>
      </c>
      <c r="H1028" s="19">
        <v>43153</v>
      </c>
      <c r="I1028">
        <v>14.045</v>
      </c>
      <c r="K1028" s="19"/>
      <c r="N1028" s="19"/>
    </row>
    <row r="1029" spans="2:14" x14ac:dyDescent="0.25">
      <c r="B1029" s="19">
        <v>43154</v>
      </c>
      <c r="C1029">
        <v>47.07</v>
      </c>
      <c r="E1029" s="19">
        <v>43154</v>
      </c>
      <c r="F1029">
        <v>64.89</v>
      </c>
      <c r="H1029" s="19">
        <v>43154</v>
      </c>
      <c r="I1029">
        <v>13.95</v>
      </c>
      <c r="K1029" s="19"/>
      <c r="N1029" s="19"/>
    </row>
    <row r="1030" spans="2:14" x14ac:dyDescent="0.25">
      <c r="B1030" s="19">
        <v>43157</v>
      </c>
      <c r="C1030">
        <v>47.37</v>
      </c>
      <c r="E1030" s="19">
        <v>43157</v>
      </c>
      <c r="F1030">
        <v>64.87</v>
      </c>
      <c r="H1030" s="19">
        <v>43157</v>
      </c>
      <c r="I1030">
        <v>13.97</v>
      </c>
      <c r="K1030" s="19"/>
      <c r="N1030" s="19"/>
    </row>
    <row r="1031" spans="2:14" x14ac:dyDescent="0.25">
      <c r="B1031" s="19">
        <v>43158</v>
      </c>
      <c r="C1031">
        <v>47.3</v>
      </c>
      <c r="E1031" s="19">
        <v>43158</v>
      </c>
      <c r="F1031">
        <v>65.52</v>
      </c>
      <c r="H1031" s="19">
        <v>43158</v>
      </c>
      <c r="I1031">
        <v>14.175000000000001</v>
      </c>
      <c r="K1031" s="19"/>
      <c r="N1031" s="19"/>
    </row>
    <row r="1032" spans="2:14" x14ac:dyDescent="0.25">
      <c r="B1032" s="19">
        <v>43159</v>
      </c>
      <c r="C1032">
        <v>46.97</v>
      </c>
      <c r="E1032" s="19">
        <v>43159</v>
      </c>
      <c r="F1032">
        <v>65.37</v>
      </c>
      <c r="H1032" s="19">
        <v>43159</v>
      </c>
      <c r="I1032">
        <v>14.135</v>
      </c>
      <c r="K1032" s="19"/>
      <c r="N1032" s="19"/>
    </row>
    <row r="1033" spans="2:14" x14ac:dyDescent="0.25">
      <c r="B1033" s="19">
        <v>43160</v>
      </c>
      <c r="C1033">
        <v>46.41</v>
      </c>
      <c r="E1033" s="19">
        <v>43160</v>
      </c>
      <c r="F1033">
        <v>64.709999999999994</v>
      </c>
      <c r="H1033" s="19">
        <v>43160</v>
      </c>
      <c r="I1033">
        <v>14.035</v>
      </c>
      <c r="K1033" s="19"/>
      <c r="N1033" s="19"/>
    </row>
    <row r="1034" spans="2:14" x14ac:dyDescent="0.25">
      <c r="B1034" s="19">
        <v>43161</v>
      </c>
      <c r="C1034">
        <v>45.5</v>
      </c>
      <c r="E1034" s="19">
        <v>43161</v>
      </c>
      <c r="F1034">
        <v>62.88</v>
      </c>
      <c r="H1034" s="19">
        <v>43161</v>
      </c>
      <c r="I1034">
        <v>13.7</v>
      </c>
      <c r="K1034" s="19"/>
      <c r="N1034" s="19"/>
    </row>
    <row r="1035" spans="2:14" x14ac:dyDescent="0.25">
      <c r="B1035" s="19">
        <v>43164</v>
      </c>
      <c r="C1035">
        <v>45.95</v>
      </c>
      <c r="E1035" s="19">
        <v>43164</v>
      </c>
      <c r="F1035">
        <v>62.06</v>
      </c>
      <c r="H1035" s="19">
        <v>43164</v>
      </c>
      <c r="I1035">
        <v>13.55</v>
      </c>
      <c r="K1035" s="19"/>
      <c r="N1035" s="19"/>
    </row>
    <row r="1036" spans="2:14" x14ac:dyDescent="0.25">
      <c r="B1036" s="19">
        <v>43165</v>
      </c>
      <c r="C1036">
        <v>46.045000000000002</v>
      </c>
      <c r="E1036" s="19">
        <v>43165</v>
      </c>
      <c r="F1036">
        <v>62.44</v>
      </c>
      <c r="H1036" s="19">
        <v>43165</v>
      </c>
      <c r="I1036">
        <v>13.734999999999999</v>
      </c>
      <c r="K1036" s="19"/>
      <c r="N1036" s="19"/>
    </row>
    <row r="1037" spans="2:14" x14ac:dyDescent="0.25">
      <c r="B1037" s="19">
        <v>43166</v>
      </c>
      <c r="C1037">
        <v>46.11</v>
      </c>
      <c r="E1037" s="19">
        <v>43166</v>
      </c>
      <c r="F1037">
        <v>62.49</v>
      </c>
      <c r="H1037" s="19">
        <v>43166</v>
      </c>
      <c r="I1037">
        <v>13.62</v>
      </c>
      <c r="K1037" s="19"/>
      <c r="N1037" s="19"/>
    </row>
    <row r="1038" spans="2:14" x14ac:dyDescent="0.25">
      <c r="B1038" s="19">
        <v>43167</v>
      </c>
      <c r="C1038">
        <v>46.424999999999997</v>
      </c>
      <c r="E1038" s="19">
        <v>43167</v>
      </c>
      <c r="F1038">
        <v>62.95</v>
      </c>
      <c r="H1038" s="19">
        <v>43167</v>
      </c>
      <c r="I1038">
        <v>13.66</v>
      </c>
      <c r="K1038" s="19"/>
      <c r="N1038" s="19"/>
    </row>
    <row r="1039" spans="2:14" x14ac:dyDescent="0.25">
      <c r="B1039" s="19">
        <v>43168</v>
      </c>
      <c r="C1039">
        <v>46.46</v>
      </c>
      <c r="E1039" s="19">
        <v>43168</v>
      </c>
      <c r="F1039">
        <v>62.93</v>
      </c>
      <c r="H1039" s="19">
        <v>43168</v>
      </c>
      <c r="I1039">
        <v>13.63</v>
      </c>
      <c r="K1039" s="19"/>
      <c r="N1039" s="19"/>
    </row>
    <row r="1040" spans="2:14" x14ac:dyDescent="0.25">
      <c r="B1040" s="19">
        <v>43171</v>
      </c>
      <c r="C1040">
        <v>46.59</v>
      </c>
      <c r="E1040" s="19">
        <v>43171</v>
      </c>
      <c r="F1040">
        <v>62.88</v>
      </c>
      <c r="H1040" s="19">
        <v>43171</v>
      </c>
      <c r="I1040">
        <v>13.72</v>
      </c>
      <c r="K1040" s="19"/>
      <c r="N1040" s="19"/>
    </row>
    <row r="1041" spans="2:14" x14ac:dyDescent="0.25">
      <c r="B1041" s="19">
        <v>43172</v>
      </c>
      <c r="C1041">
        <v>46.88</v>
      </c>
      <c r="E1041" s="19">
        <v>43172</v>
      </c>
      <c r="F1041">
        <v>62.58</v>
      </c>
      <c r="H1041" s="19">
        <v>43172</v>
      </c>
      <c r="I1041">
        <v>13.645</v>
      </c>
      <c r="K1041" s="19"/>
      <c r="N1041" s="19"/>
    </row>
    <row r="1042" spans="2:14" x14ac:dyDescent="0.25">
      <c r="B1042" s="19">
        <v>43173</v>
      </c>
      <c r="C1042">
        <v>47.03</v>
      </c>
      <c r="E1042" s="19">
        <v>43173</v>
      </c>
      <c r="F1042">
        <v>61.63</v>
      </c>
      <c r="H1042" s="19">
        <v>43173</v>
      </c>
      <c r="I1042">
        <v>13.49</v>
      </c>
      <c r="K1042" s="19"/>
      <c r="N1042" s="19"/>
    </row>
    <row r="1043" spans="2:14" x14ac:dyDescent="0.25">
      <c r="B1043" s="19">
        <v>43174</v>
      </c>
      <c r="C1043">
        <v>46.9</v>
      </c>
      <c r="E1043" s="19">
        <v>43174</v>
      </c>
      <c r="F1043">
        <v>61.81</v>
      </c>
      <c r="H1043" s="19">
        <v>43174</v>
      </c>
      <c r="I1043">
        <v>13.555</v>
      </c>
      <c r="K1043" s="19"/>
      <c r="N1043" s="19"/>
    </row>
    <row r="1044" spans="2:14" x14ac:dyDescent="0.25">
      <c r="B1044" s="19">
        <v>43175</v>
      </c>
      <c r="C1044">
        <v>47.78</v>
      </c>
      <c r="E1044" s="19">
        <v>43175</v>
      </c>
      <c r="F1044">
        <v>62.45</v>
      </c>
      <c r="H1044" s="19">
        <v>43175</v>
      </c>
      <c r="I1044">
        <v>13.705</v>
      </c>
      <c r="K1044" s="19"/>
      <c r="N1044" s="19"/>
    </row>
    <row r="1045" spans="2:14" x14ac:dyDescent="0.25">
      <c r="B1045" s="19">
        <v>43178</v>
      </c>
      <c r="C1045">
        <v>46.195</v>
      </c>
      <c r="E1045" s="19">
        <v>43178</v>
      </c>
      <c r="F1045">
        <v>61.73</v>
      </c>
      <c r="H1045" s="19">
        <v>43178</v>
      </c>
      <c r="I1045">
        <v>13.615</v>
      </c>
      <c r="K1045" s="19"/>
      <c r="N1045" s="19"/>
    </row>
    <row r="1046" spans="2:14" x14ac:dyDescent="0.25">
      <c r="B1046" s="19">
        <v>43179</v>
      </c>
      <c r="C1046">
        <v>46.234999999999999</v>
      </c>
      <c r="E1046" s="19">
        <v>43179</v>
      </c>
      <c r="F1046">
        <v>61.6</v>
      </c>
      <c r="H1046" s="19">
        <v>43179</v>
      </c>
      <c r="I1046">
        <v>13.68</v>
      </c>
      <c r="K1046" s="19"/>
      <c r="N1046" s="19"/>
    </row>
    <row r="1047" spans="2:14" x14ac:dyDescent="0.25">
      <c r="B1047" s="19">
        <v>43180</v>
      </c>
      <c r="C1047">
        <v>46.555</v>
      </c>
      <c r="E1047" s="19">
        <v>43180</v>
      </c>
      <c r="F1047">
        <v>61.23</v>
      </c>
      <c r="H1047" s="19">
        <v>43180</v>
      </c>
      <c r="I1047">
        <v>13.585000000000001</v>
      </c>
      <c r="K1047" s="19"/>
      <c r="N1047" s="19"/>
    </row>
    <row r="1048" spans="2:14" x14ac:dyDescent="0.25">
      <c r="B1048" s="19">
        <v>43181</v>
      </c>
      <c r="C1048">
        <v>46.255000000000003</v>
      </c>
      <c r="E1048" s="19">
        <v>43181</v>
      </c>
      <c r="F1048">
        <v>60.11</v>
      </c>
      <c r="H1048" s="19">
        <v>43181</v>
      </c>
      <c r="I1048">
        <v>13.38</v>
      </c>
      <c r="K1048" s="19"/>
      <c r="N1048" s="19"/>
    </row>
    <row r="1049" spans="2:14" x14ac:dyDescent="0.25">
      <c r="B1049" s="19">
        <v>43182</v>
      </c>
      <c r="C1049">
        <v>45.805</v>
      </c>
      <c r="E1049" s="19">
        <v>43182</v>
      </c>
      <c r="F1049">
        <v>59.24</v>
      </c>
      <c r="H1049" s="19">
        <v>43182</v>
      </c>
      <c r="I1049">
        <v>13.164999999999999</v>
      </c>
      <c r="K1049" s="19"/>
      <c r="N1049" s="19"/>
    </row>
    <row r="1050" spans="2:14" x14ac:dyDescent="0.25">
      <c r="B1050" s="19">
        <v>43185</v>
      </c>
      <c r="C1050">
        <v>45.9</v>
      </c>
      <c r="E1050" s="19">
        <v>43185</v>
      </c>
      <c r="F1050">
        <v>58.88</v>
      </c>
      <c r="H1050" s="19">
        <v>43185</v>
      </c>
      <c r="I1050">
        <v>13.14</v>
      </c>
      <c r="K1050" s="19"/>
      <c r="N1050" s="19"/>
    </row>
    <row r="1051" spans="2:14" x14ac:dyDescent="0.25">
      <c r="B1051" s="19">
        <v>43186</v>
      </c>
      <c r="C1051">
        <v>46.09</v>
      </c>
      <c r="E1051" s="19">
        <v>43186</v>
      </c>
      <c r="F1051">
        <v>59.53</v>
      </c>
      <c r="H1051" s="19">
        <v>43186</v>
      </c>
      <c r="I1051">
        <v>13.23</v>
      </c>
      <c r="K1051" s="19"/>
      <c r="N1051" s="19"/>
    </row>
    <row r="1052" spans="2:14" x14ac:dyDescent="0.25">
      <c r="B1052" s="19">
        <v>43187</v>
      </c>
      <c r="C1052">
        <v>45.835000000000001</v>
      </c>
      <c r="E1052" s="19">
        <v>43187</v>
      </c>
      <c r="F1052">
        <v>60.02</v>
      </c>
      <c r="H1052" s="19">
        <v>43187</v>
      </c>
      <c r="I1052">
        <v>13.255000000000001</v>
      </c>
      <c r="K1052" s="19"/>
      <c r="N1052" s="19"/>
    </row>
    <row r="1053" spans="2:14" x14ac:dyDescent="0.25">
      <c r="B1053" s="19">
        <v>43188</v>
      </c>
      <c r="C1053">
        <v>46.13</v>
      </c>
      <c r="E1053" s="19">
        <v>43188</v>
      </c>
      <c r="F1053">
        <v>60.17</v>
      </c>
      <c r="H1053" s="19">
        <v>43188</v>
      </c>
      <c r="I1053">
        <v>13.205</v>
      </c>
      <c r="K1053" s="19"/>
      <c r="N1053" s="19"/>
    </row>
    <row r="1054" spans="2:14" x14ac:dyDescent="0.25">
      <c r="B1054" s="19">
        <v>43193</v>
      </c>
      <c r="C1054">
        <v>46.704999999999998</v>
      </c>
      <c r="E1054" s="19">
        <v>43193</v>
      </c>
      <c r="F1054">
        <v>59.69</v>
      </c>
      <c r="H1054" s="19">
        <v>43193</v>
      </c>
      <c r="I1054">
        <v>13.225</v>
      </c>
      <c r="K1054" s="19"/>
      <c r="N1054" s="19"/>
    </row>
    <row r="1055" spans="2:14" x14ac:dyDescent="0.25">
      <c r="B1055" s="19">
        <v>43194</v>
      </c>
      <c r="C1055">
        <v>47.28</v>
      </c>
      <c r="E1055" s="19">
        <v>43194</v>
      </c>
      <c r="F1055">
        <v>59.44</v>
      </c>
      <c r="H1055" s="19">
        <v>43194</v>
      </c>
      <c r="I1055">
        <v>13.14</v>
      </c>
      <c r="K1055" s="19"/>
      <c r="N1055" s="19"/>
    </row>
    <row r="1056" spans="2:14" x14ac:dyDescent="0.25">
      <c r="B1056" s="19">
        <v>43195</v>
      </c>
      <c r="C1056">
        <v>48.56</v>
      </c>
      <c r="E1056" s="19">
        <v>43195</v>
      </c>
      <c r="F1056">
        <v>61.1</v>
      </c>
      <c r="H1056" s="19">
        <v>43195</v>
      </c>
      <c r="I1056">
        <v>13.404999999999999</v>
      </c>
      <c r="K1056" s="19"/>
      <c r="N1056" s="19"/>
    </row>
    <row r="1057" spans="2:14" x14ac:dyDescent="0.25">
      <c r="B1057" s="19">
        <v>43196</v>
      </c>
      <c r="C1057">
        <v>48.475000000000001</v>
      </c>
      <c r="E1057" s="19">
        <v>43196</v>
      </c>
      <c r="F1057">
        <v>60.57</v>
      </c>
      <c r="H1057" s="19">
        <v>43196</v>
      </c>
      <c r="I1057">
        <v>13.234999999999999</v>
      </c>
      <c r="K1057" s="19"/>
      <c r="N1057" s="19"/>
    </row>
    <row r="1058" spans="2:14" x14ac:dyDescent="0.25">
      <c r="B1058" s="19">
        <v>43199</v>
      </c>
      <c r="C1058">
        <v>48.32</v>
      </c>
      <c r="E1058" s="19">
        <v>43199</v>
      </c>
      <c r="F1058">
        <v>60.86</v>
      </c>
      <c r="H1058" s="19">
        <v>43199</v>
      </c>
      <c r="I1058">
        <v>13.185</v>
      </c>
      <c r="K1058" s="19"/>
      <c r="N1058" s="19"/>
    </row>
    <row r="1059" spans="2:14" x14ac:dyDescent="0.25">
      <c r="B1059" s="19">
        <v>43200</v>
      </c>
      <c r="C1059">
        <v>48.81</v>
      </c>
      <c r="E1059" s="19">
        <v>43200</v>
      </c>
      <c r="F1059">
        <v>61.31</v>
      </c>
      <c r="H1059" s="19">
        <v>43200</v>
      </c>
      <c r="I1059">
        <v>13.26</v>
      </c>
      <c r="K1059" s="19"/>
      <c r="N1059" s="19"/>
    </row>
    <row r="1060" spans="2:14" x14ac:dyDescent="0.25">
      <c r="B1060" s="19">
        <v>43201</v>
      </c>
      <c r="C1060">
        <v>48.86</v>
      </c>
      <c r="E1060" s="19">
        <v>43201</v>
      </c>
      <c r="F1060">
        <v>60.92</v>
      </c>
      <c r="H1060" s="19">
        <v>43201</v>
      </c>
      <c r="I1060">
        <v>13.21</v>
      </c>
      <c r="K1060" s="19"/>
      <c r="N1060" s="19"/>
    </row>
    <row r="1061" spans="2:14" x14ac:dyDescent="0.25">
      <c r="B1061" s="19">
        <v>43202</v>
      </c>
      <c r="C1061">
        <v>48.895000000000003</v>
      </c>
      <c r="E1061" s="19">
        <v>43202</v>
      </c>
      <c r="F1061">
        <v>61.23</v>
      </c>
      <c r="H1061" s="19">
        <v>43202</v>
      </c>
      <c r="I1061">
        <v>13.335000000000001</v>
      </c>
      <c r="K1061" s="19"/>
      <c r="N1061" s="19"/>
    </row>
    <row r="1062" spans="2:14" x14ac:dyDescent="0.25">
      <c r="B1062" s="19">
        <v>43203</v>
      </c>
      <c r="C1062">
        <v>48.6</v>
      </c>
      <c r="E1062" s="19">
        <v>43203</v>
      </c>
      <c r="F1062">
        <v>61.45</v>
      </c>
      <c r="H1062" s="19">
        <v>43203</v>
      </c>
      <c r="I1062">
        <v>13.385</v>
      </c>
      <c r="K1062" s="19"/>
      <c r="N1062" s="19"/>
    </row>
    <row r="1063" spans="2:14" x14ac:dyDescent="0.25">
      <c r="B1063" s="19">
        <v>43206</v>
      </c>
      <c r="C1063">
        <v>48.645000000000003</v>
      </c>
      <c r="E1063" s="19">
        <v>43206</v>
      </c>
      <c r="F1063">
        <v>61.54</v>
      </c>
      <c r="H1063" s="19">
        <v>43206</v>
      </c>
      <c r="I1063">
        <v>13.404999999999999</v>
      </c>
      <c r="K1063" s="19"/>
      <c r="N1063" s="19"/>
    </row>
    <row r="1064" spans="2:14" x14ac:dyDescent="0.25">
      <c r="B1064" s="19">
        <v>43207</v>
      </c>
      <c r="C1064">
        <v>48.914999999999999</v>
      </c>
      <c r="E1064" s="19">
        <v>43207</v>
      </c>
      <c r="F1064">
        <v>61.93</v>
      </c>
      <c r="H1064" s="19">
        <v>43207</v>
      </c>
      <c r="I1064">
        <v>13.414999999999999</v>
      </c>
      <c r="K1064" s="19"/>
      <c r="N1064" s="19"/>
    </row>
    <row r="1065" spans="2:14" x14ac:dyDescent="0.25">
      <c r="B1065" s="19">
        <v>43208</v>
      </c>
      <c r="C1065">
        <v>49.7</v>
      </c>
      <c r="E1065" s="19">
        <v>43208</v>
      </c>
      <c r="F1065">
        <v>62.24</v>
      </c>
      <c r="H1065" s="19">
        <v>43208</v>
      </c>
      <c r="I1065">
        <v>13.45</v>
      </c>
      <c r="K1065" s="19"/>
      <c r="N1065" s="19"/>
    </row>
    <row r="1066" spans="2:14" x14ac:dyDescent="0.25">
      <c r="B1066" s="19">
        <v>43209</v>
      </c>
      <c r="C1066">
        <v>50.3</v>
      </c>
      <c r="E1066" s="19">
        <v>43209</v>
      </c>
      <c r="F1066">
        <v>62.59</v>
      </c>
      <c r="H1066" s="19">
        <v>43209</v>
      </c>
      <c r="I1066">
        <v>13.5</v>
      </c>
      <c r="K1066" s="19"/>
      <c r="N1066" s="19"/>
    </row>
    <row r="1067" spans="2:14" x14ac:dyDescent="0.25">
      <c r="B1067" s="19">
        <v>43210</v>
      </c>
      <c r="C1067">
        <v>50.64</v>
      </c>
      <c r="E1067" s="19">
        <v>43210</v>
      </c>
      <c r="F1067">
        <v>63.21</v>
      </c>
      <c r="H1067" s="19">
        <v>43210</v>
      </c>
      <c r="I1067">
        <v>13.585000000000001</v>
      </c>
      <c r="K1067" s="19"/>
      <c r="N1067" s="19"/>
    </row>
    <row r="1068" spans="2:14" x14ac:dyDescent="0.25">
      <c r="B1068" s="19">
        <v>43213</v>
      </c>
      <c r="C1068">
        <v>51.16</v>
      </c>
      <c r="E1068" s="19">
        <v>43213</v>
      </c>
      <c r="F1068">
        <v>63.9</v>
      </c>
      <c r="H1068" s="19">
        <v>43213</v>
      </c>
      <c r="I1068">
        <v>13.715</v>
      </c>
      <c r="K1068" s="19"/>
      <c r="N1068" s="19"/>
    </row>
    <row r="1069" spans="2:14" x14ac:dyDescent="0.25">
      <c r="B1069" s="19">
        <v>43214</v>
      </c>
      <c r="C1069">
        <v>51.84</v>
      </c>
      <c r="E1069" s="19">
        <v>43214</v>
      </c>
      <c r="F1069">
        <v>64</v>
      </c>
      <c r="H1069" s="19">
        <v>43214</v>
      </c>
      <c r="I1069">
        <v>13.744999999999999</v>
      </c>
      <c r="K1069" s="19"/>
      <c r="N1069" s="19"/>
    </row>
    <row r="1070" spans="2:14" x14ac:dyDescent="0.25">
      <c r="B1070" s="19">
        <v>43215</v>
      </c>
      <c r="C1070">
        <v>51.15</v>
      </c>
      <c r="E1070" s="19">
        <v>43215</v>
      </c>
      <c r="F1070">
        <v>63.5</v>
      </c>
      <c r="H1070" s="19">
        <v>43215</v>
      </c>
      <c r="I1070">
        <v>13.62</v>
      </c>
      <c r="K1070" s="19"/>
      <c r="N1070" s="19"/>
    </row>
    <row r="1071" spans="2:14" x14ac:dyDescent="0.25">
      <c r="B1071" s="19">
        <v>43216</v>
      </c>
      <c r="C1071">
        <v>51.91</v>
      </c>
      <c r="E1071" s="19">
        <v>43216</v>
      </c>
      <c r="F1071">
        <v>63.24</v>
      </c>
      <c r="H1071" s="19">
        <v>43216</v>
      </c>
      <c r="I1071">
        <v>13.625</v>
      </c>
      <c r="K1071" s="19"/>
      <c r="N1071" s="19"/>
    </row>
    <row r="1072" spans="2:14" x14ac:dyDescent="0.25">
      <c r="B1072" s="19">
        <v>43217</v>
      </c>
      <c r="C1072">
        <v>52.1</v>
      </c>
      <c r="E1072" s="19">
        <v>43217</v>
      </c>
      <c r="F1072">
        <v>63.57</v>
      </c>
      <c r="H1072" s="19">
        <v>43217</v>
      </c>
      <c r="I1072">
        <v>13.675000000000001</v>
      </c>
      <c r="K1072" s="19"/>
      <c r="N1072" s="19"/>
    </row>
    <row r="1073" spans="2:14" x14ac:dyDescent="0.25">
      <c r="B1073" s="19">
        <v>43220</v>
      </c>
      <c r="C1073">
        <v>52.33</v>
      </c>
      <c r="E1073" s="19">
        <v>43220</v>
      </c>
      <c r="F1073">
        <v>63.98</v>
      </c>
      <c r="H1073" s="19">
        <v>43220</v>
      </c>
      <c r="I1073">
        <v>13.635</v>
      </c>
      <c r="K1073" s="19"/>
      <c r="N1073" s="19"/>
    </row>
    <row r="1074" spans="2:14" x14ac:dyDescent="0.25">
      <c r="B1074" s="19">
        <v>43222</v>
      </c>
      <c r="C1074">
        <v>51.65</v>
      </c>
      <c r="E1074" s="19">
        <v>43222</v>
      </c>
      <c r="F1074">
        <v>64.349999999999994</v>
      </c>
      <c r="H1074" s="19">
        <v>43222</v>
      </c>
      <c r="I1074">
        <v>13.62</v>
      </c>
      <c r="K1074" s="19"/>
      <c r="N1074" s="19"/>
    </row>
    <row r="1075" spans="2:14" x14ac:dyDescent="0.25">
      <c r="B1075" s="19">
        <v>43223</v>
      </c>
      <c r="C1075">
        <v>51.78</v>
      </c>
      <c r="E1075" s="19">
        <v>43223</v>
      </c>
      <c r="F1075">
        <v>63.4</v>
      </c>
      <c r="H1075" s="19">
        <v>43223</v>
      </c>
      <c r="I1075">
        <v>13.38</v>
      </c>
      <c r="K1075" s="19"/>
      <c r="N1075" s="19"/>
    </row>
    <row r="1076" spans="2:14" x14ac:dyDescent="0.25">
      <c r="B1076" s="19">
        <v>43224</v>
      </c>
      <c r="C1076">
        <v>52.27</v>
      </c>
      <c r="E1076" s="19">
        <v>43224</v>
      </c>
      <c r="F1076">
        <v>62.67</v>
      </c>
      <c r="H1076" s="19">
        <v>43224</v>
      </c>
      <c r="I1076">
        <v>13.43</v>
      </c>
      <c r="K1076" s="19"/>
      <c r="N1076" s="19"/>
    </row>
    <row r="1077" spans="2:14" x14ac:dyDescent="0.25">
      <c r="B1077" s="19">
        <v>43227</v>
      </c>
      <c r="C1077">
        <v>52.71</v>
      </c>
      <c r="E1077" s="19">
        <v>43227</v>
      </c>
      <c r="F1077">
        <v>62.37</v>
      </c>
      <c r="H1077" s="19">
        <v>43227</v>
      </c>
      <c r="I1077">
        <v>13.445</v>
      </c>
      <c r="K1077" s="19"/>
      <c r="N1077" s="19"/>
    </row>
    <row r="1078" spans="2:14" x14ac:dyDescent="0.25">
      <c r="B1078" s="19">
        <v>43228</v>
      </c>
      <c r="C1078">
        <v>51.81</v>
      </c>
      <c r="E1078" s="19">
        <v>43228</v>
      </c>
      <c r="F1078">
        <v>61.96</v>
      </c>
      <c r="H1078" s="19">
        <v>43228</v>
      </c>
      <c r="I1078">
        <v>13.404999999999999</v>
      </c>
      <c r="K1078" s="19"/>
      <c r="N1078" s="19"/>
    </row>
    <row r="1079" spans="2:14" x14ac:dyDescent="0.25">
      <c r="B1079" s="19">
        <v>43229</v>
      </c>
      <c r="C1079">
        <v>52.78</v>
      </c>
      <c r="E1079" s="19">
        <v>43229</v>
      </c>
      <c r="F1079">
        <v>62.65</v>
      </c>
      <c r="H1079" s="19">
        <v>43229</v>
      </c>
      <c r="I1079">
        <v>13.44</v>
      </c>
      <c r="K1079" s="19"/>
      <c r="N1079" s="19"/>
    </row>
    <row r="1080" spans="2:14" x14ac:dyDescent="0.25">
      <c r="B1080" s="19">
        <v>43230</v>
      </c>
      <c r="C1080">
        <v>52.71</v>
      </c>
      <c r="E1080" s="19">
        <v>43230</v>
      </c>
      <c r="F1080">
        <v>62.75</v>
      </c>
      <c r="H1080" s="19">
        <v>43230</v>
      </c>
      <c r="I1080">
        <v>13.425000000000001</v>
      </c>
      <c r="K1080" s="19"/>
      <c r="N1080" s="19"/>
    </row>
    <row r="1081" spans="2:14" x14ac:dyDescent="0.25">
      <c r="B1081" s="19">
        <v>43231</v>
      </c>
      <c r="C1081">
        <v>53.33</v>
      </c>
      <c r="E1081" s="19">
        <v>43231</v>
      </c>
      <c r="F1081">
        <v>62.77</v>
      </c>
      <c r="H1081" s="19">
        <v>43231</v>
      </c>
      <c r="I1081">
        <v>13.47</v>
      </c>
      <c r="K1081" s="19"/>
      <c r="N1081" s="19"/>
    </row>
    <row r="1082" spans="2:14" x14ac:dyDescent="0.25">
      <c r="B1082" s="19">
        <v>43234</v>
      </c>
      <c r="C1082">
        <v>53.7</v>
      </c>
      <c r="E1082" s="19">
        <v>43234</v>
      </c>
      <c r="F1082">
        <v>62.88</v>
      </c>
      <c r="H1082" s="19">
        <v>43234</v>
      </c>
      <c r="I1082">
        <v>13.41</v>
      </c>
      <c r="K1082" s="19"/>
      <c r="N1082" s="19"/>
    </row>
    <row r="1083" spans="2:14" x14ac:dyDescent="0.25">
      <c r="B1083" s="19">
        <v>43235</v>
      </c>
      <c r="C1083">
        <v>53.9</v>
      </c>
      <c r="E1083" s="19">
        <v>43235</v>
      </c>
      <c r="F1083">
        <v>63.19</v>
      </c>
      <c r="H1083" s="19">
        <v>43235</v>
      </c>
      <c r="I1083">
        <v>13.565</v>
      </c>
      <c r="K1083" s="19"/>
      <c r="N1083" s="19"/>
    </row>
    <row r="1084" spans="2:14" x14ac:dyDescent="0.25">
      <c r="B1084" s="19">
        <v>43236</v>
      </c>
      <c r="C1084">
        <v>53.54</v>
      </c>
      <c r="E1084" s="19">
        <v>43236</v>
      </c>
      <c r="F1084">
        <v>62.27</v>
      </c>
      <c r="H1084" s="19">
        <v>43236</v>
      </c>
      <c r="I1084">
        <v>13.494999999999999</v>
      </c>
      <c r="K1084" s="19"/>
      <c r="N1084" s="19"/>
    </row>
    <row r="1085" spans="2:14" x14ac:dyDescent="0.25">
      <c r="B1085" s="19">
        <v>43237</v>
      </c>
      <c r="C1085">
        <v>54.5</v>
      </c>
      <c r="E1085" s="19">
        <v>43237</v>
      </c>
      <c r="F1085">
        <v>62.18</v>
      </c>
      <c r="H1085" s="19">
        <v>43237</v>
      </c>
      <c r="I1085">
        <v>13.625</v>
      </c>
      <c r="K1085" s="19"/>
      <c r="N1085" s="19"/>
    </row>
    <row r="1086" spans="2:14" x14ac:dyDescent="0.25">
      <c r="B1086" s="19">
        <v>43238</v>
      </c>
      <c r="C1086">
        <v>54.48</v>
      </c>
      <c r="E1086" s="19">
        <v>43238</v>
      </c>
      <c r="F1086">
        <v>61.58</v>
      </c>
      <c r="H1086" s="19">
        <v>43238</v>
      </c>
      <c r="I1086">
        <v>13.435</v>
      </c>
      <c r="K1086" s="19"/>
      <c r="N1086" s="19"/>
    </row>
    <row r="1087" spans="2:14" x14ac:dyDescent="0.25">
      <c r="B1087" s="19">
        <v>43241</v>
      </c>
      <c r="C1087">
        <v>54.5</v>
      </c>
      <c r="E1087" s="19">
        <v>43241</v>
      </c>
      <c r="F1087">
        <v>61.63</v>
      </c>
      <c r="H1087" s="19">
        <v>43241</v>
      </c>
      <c r="I1087">
        <v>13.535</v>
      </c>
      <c r="K1087" s="19"/>
      <c r="N1087" s="19"/>
    </row>
    <row r="1088" spans="2:14" x14ac:dyDescent="0.25">
      <c r="B1088" s="19">
        <v>43242</v>
      </c>
      <c r="C1088">
        <v>54.12</v>
      </c>
      <c r="E1088" s="19">
        <v>43242</v>
      </c>
      <c r="F1088">
        <v>62.7</v>
      </c>
      <c r="H1088" s="19">
        <v>43242</v>
      </c>
      <c r="I1088">
        <v>13.26</v>
      </c>
      <c r="K1088" s="19"/>
      <c r="N1088" s="19"/>
    </row>
    <row r="1089" spans="2:14" x14ac:dyDescent="0.25">
      <c r="B1089" s="19">
        <v>43243</v>
      </c>
      <c r="C1089">
        <v>52.44</v>
      </c>
      <c r="E1089" s="19">
        <v>43243</v>
      </c>
      <c r="F1089">
        <v>61.79</v>
      </c>
      <c r="H1089" s="19">
        <v>43243</v>
      </c>
      <c r="I1089">
        <v>13.095000000000001</v>
      </c>
      <c r="K1089" s="19"/>
      <c r="N1089" s="19"/>
    </row>
    <row r="1090" spans="2:14" x14ac:dyDescent="0.25">
      <c r="B1090" s="19">
        <v>43244</v>
      </c>
      <c r="C1090">
        <v>51.81</v>
      </c>
      <c r="E1090" s="19">
        <v>43244</v>
      </c>
      <c r="F1090">
        <v>61.24</v>
      </c>
      <c r="H1090" s="19">
        <v>43244</v>
      </c>
      <c r="I1090">
        <v>12.785</v>
      </c>
      <c r="K1090" s="19"/>
      <c r="N1090" s="19"/>
    </row>
    <row r="1091" spans="2:14" x14ac:dyDescent="0.25">
      <c r="B1091" s="19">
        <v>43245</v>
      </c>
      <c r="C1091">
        <v>51.06</v>
      </c>
      <c r="E1091" s="19">
        <v>43245</v>
      </c>
      <c r="F1091">
        <v>60.54</v>
      </c>
      <c r="H1091" s="19">
        <v>43245</v>
      </c>
      <c r="I1091">
        <v>12.66</v>
      </c>
      <c r="K1091" s="19"/>
      <c r="N1091" s="19"/>
    </row>
    <row r="1092" spans="2:14" x14ac:dyDescent="0.25">
      <c r="B1092" s="19">
        <v>43248</v>
      </c>
      <c r="C1092">
        <v>50.76</v>
      </c>
      <c r="E1092" s="19">
        <v>43248</v>
      </c>
      <c r="F1092">
        <v>59.89</v>
      </c>
      <c r="H1092" s="19">
        <v>43248</v>
      </c>
      <c r="I1092">
        <v>12.45</v>
      </c>
      <c r="K1092" s="19"/>
      <c r="N1092" s="19"/>
    </row>
    <row r="1093" spans="2:14" x14ac:dyDescent="0.25">
      <c r="B1093" s="19">
        <v>43249</v>
      </c>
      <c r="C1093">
        <v>51.01</v>
      </c>
      <c r="E1093" s="19">
        <v>43249</v>
      </c>
      <c r="F1093">
        <v>57.22</v>
      </c>
      <c r="H1093" s="19">
        <v>43249</v>
      </c>
      <c r="I1093">
        <v>12.04</v>
      </c>
      <c r="K1093" s="19"/>
      <c r="N1093" s="19"/>
    </row>
    <row r="1094" spans="2:14" x14ac:dyDescent="0.25">
      <c r="B1094" s="19">
        <v>43250</v>
      </c>
      <c r="C1094">
        <v>51.9</v>
      </c>
      <c r="E1094" s="19">
        <v>43250</v>
      </c>
      <c r="F1094">
        <v>54.24</v>
      </c>
      <c r="H1094" s="19">
        <v>43250</v>
      </c>
      <c r="I1094">
        <v>11.885</v>
      </c>
      <c r="K1094" s="19"/>
      <c r="N1094" s="19"/>
    </row>
    <row r="1095" spans="2:14" x14ac:dyDescent="0.25">
      <c r="B1095" s="19">
        <v>43251</v>
      </c>
      <c r="C1095">
        <v>52.05</v>
      </c>
      <c r="E1095" s="19">
        <v>43251</v>
      </c>
      <c r="F1095">
        <v>53.06</v>
      </c>
      <c r="H1095" s="19">
        <v>43251</v>
      </c>
      <c r="I1095">
        <v>11.74</v>
      </c>
      <c r="K1095" s="19"/>
      <c r="N1095" s="19"/>
    </row>
    <row r="1096" spans="2:14" x14ac:dyDescent="0.25">
      <c r="B1096" s="19">
        <v>43252</v>
      </c>
      <c r="C1096">
        <v>52.73</v>
      </c>
      <c r="E1096" s="19">
        <v>43252</v>
      </c>
      <c r="F1096">
        <v>53.89</v>
      </c>
      <c r="H1096" s="19">
        <v>43252</v>
      </c>
      <c r="I1096">
        <v>12.055</v>
      </c>
      <c r="K1096" s="19"/>
      <c r="N1096" s="19"/>
    </row>
    <row r="1097" spans="2:14" x14ac:dyDescent="0.25">
      <c r="B1097" s="19">
        <v>43255</v>
      </c>
      <c r="C1097">
        <v>52.64</v>
      </c>
      <c r="E1097" s="19">
        <v>43255</v>
      </c>
      <c r="F1097">
        <v>54.09</v>
      </c>
      <c r="H1097" s="19">
        <v>43255</v>
      </c>
      <c r="I1097">
        <v>12.154999999999999</v>
      </c>
      <c r="K1097" s="19"/>
      <c r="N1097" s="19"/>
    </row>
    <row r="1098" spans="2:14" x14ac:dyDescent="0.25">
      <c r="B1098" s="19">
        <v>43256</v>
      </c>
      <c r="C1098">
        <v>52.3</v>
      </c>
      <c r="E1098" s="19">
        <v>43256</v>
      </c>
      <c r="F1098">
        <v>53.12</v>
      </c>
      <c r="H1098" s="19">
        <v>43256</v>
      </c>
      <c r="I1098">
        <v>11.904999999999999</v>
      </c>
      <c r="K1098" s="19"/>
      <c r="N1098" s="19"/>
    </row>
    <row r="1099" spans="2:14" x14ac:dyDescent="0.25">
      <c r="B1099" s="19">
        <v>43257</v>
      </c>
      <c r="C1099">
        <v>52.72</v>
      </c>
      <c r="E1099" s="19">
        <v>43257</v>
      </c>
      <c r="F1099">
        <v>53.69</v>
      </c>
      <c r="H1099" s="19">
        <v>43257</v>
      </c>
      <c r="I1099">
        <v>11.91</v>
      </c>
      <c r="K1099" s="19"/>
      <c r="N1099" s="19"/>
    </row>
    <row r="1100" spans="2:14" x14ac:dyDescent="0.25">
      <c r="B1100" s="19">
        <v>43258</v>
      </c>
      <c r="C1100">
        <v>53.38</v>
      </c>
      <c r="E1100" s="19">
        <v>43258</v>
      </c>
      <c r="F1100">
        <v>54.11</v>
      </c>
      <c r="H1100" s="19">
        <v>43258</v>
      </c>
      <c r="I1100">
        <v>11.984999999999999</v>
      </c>
      <c r="K1100" s="19"/>
      <c r="N1100" s="19"/>
    </row>
    <row r="1101" spans="2:14" x14ac:dyDescent="0.25">
      <c r="B1101" s="19">
        <v>43259</v>
      </c>
      <c r="C1101">
        <v>53.1</v>
      </c>
      <c r="E1101" s="19">
        <v>43259</v>
      </c>
      <c r="F1101">
        <v>53.7</v>
      </c>
      <c r="H1101" s="19">
        <v>43259</v>
      </c>
      <c r="I1101">
        <v>11.89</v>
      </c>
      <c r="K1101" s="19"/>
      <c r="N1101" s="19"/>
    </row>
    <row r="1102" spans="2:14" x14ac:dyDescent="0.25">
      <c r="B1102" s="19">
        <v>43262</v>
      </c>
      <c r="C1102">
        <v>52.78</v>
      </c>
      <c r="E1102" s="19">
        <v>43262</v>
      </c>
      <c r="F1102">
        <v>54.68</v>
      </c>
      <c r="H1102" s="19">
        <v>43262</v>
      </c>
      <c r="I1102">
        <v>12.08</v>
      </c>
      <c r="K1102" s="19"/>
      <c r="N1102" s="19"/>
    </row>
    <row r="1103" spans="2:14" x14ac:dyDescent="0.25">
      <c r="B1103" s="19">
        <v>43263</v>
      </c>
      <c r="C1103">
        <v>52.32</v>
      </c>
      <c r="E1103" s="19">
        <v>43263</v>
      </c>
      <c r="F1103">
        <v>54.66</v>
      </c>
      <c r="H1103" s="19">
        <v>43263</v>
      </c>
      <c r="I1103">
        <v>12.105</v>
      </c>
      <c r="K1103" s="19"/>
      <c r="N1103" s="19"/>
    </row>
    <row r="1104" spans="2:14" x14ac:dyDescent="0.25">
      <c r="B1104" s="19">
        <v>43264</v>
      </c>
      <c r="C1104">
        <v>52.07</v>
      </c>
      <c r="E1104" s="19">
        <v>43264</v>
      </c>
      <c r="F1104">
        <v>54.51</v>
      </c>
      <c r="H1104" s="19">
        <v>43264</v>
      </c>
      <c r="I1104">
        <v>12.035</v>
      </c>
      <c r="K1104" s="19"/>
      <c r="N1104" s="19"/>
    </row>
    <row r="1105" spans="2:14" x14ac:dyDescent="0.25">
      <c r="B1105" s="19">
        <v>43265</v>
      </c>
      <c r="C1105">
        <v>52.86</v>
      </c>
      <c r="E1105" s="19">
        <v>43265</v>
      </c>
      <c r="F1105">
        <v>54.84</v>
      </c>
      <c r="H1105" s="19">
        <v>43265</v>
      </c>
      <c r="I1105">
        <v>12.05</v>
      </c>
      <c r="K1105" s="19"/>
      <c r="N1105" s="19"/>
    </row>
    <row r="1106" spans="2:14" x14ac:dyDescent="0.25">
      <c r="B1106" s="19">
        <v>43266</v>
      </c>
      <c r="C1106">
        <v>52.35</v>
      </c>
      <c r="E1106" s="19">
        <v>43266</v>
      </c>
      <c r="F1106">
        <v>54.14</v>
      </c>
      <c r="H1106" s="19">
        <v>43266</v>
      </c>
      <c r="I1106">
        <v>11.824999999999999</v>
      </c>
      <c r="K1106" s="19"/>
      <c r="N1106" s="19"/>
    </row>
    <row r="1107" spans="2:14" x14ac:dyDescent="0.25">
      <c r="B1107" s="19">
        <v>43269</v>
      </c>
      <c r="C1107">
        <v>52.23</v>
      </c>
      <c r="E1107" s="19">
        <v>43269</v>
      </c>
      <c r="F1107">
        <v>53.95</v>
      </c>
      <c r="H1107" s="19">
        <v>43269</v>
      </c>
      <c r="I1107">
        <v>11.785</v>
      </c>
      <c r="K1107" s="19"/>
      <c r="N1107" s="19"/>
    </row>
    <row r="1108" spans="2:14" x14ac:dyDescent="0.25">
      <c r="B1108" s="19">
        <v>43270</v>
      </c>
      <c r="C1108">
        <v>51.79</v>
      </c>
      <c r="E1108" s="19">
        <v>43270</v>
      </c>
      <c r="F1108">
        <v>53.75</v>
      </c>
      <c r="H1108" s="19">
        <v>43270</v>
      </c>
      <c r="I1108">
        <v>11.775</v>
      </c>
      <c r="K1108" s="19"/>
      <c r="N1108" s="19"/>
    </row>
    <row r="1109" spans="2:14" x14ac:dyDescent="0.25">
      <c r="B1109" s="19">
        <v>43271</v>
      </c>
      <c r="C1109">
        <v>51.25</v>
      </c>
      <c r="E1109" s="19">
        <v>43271</v>
      </c>
      <c r="F1109">
        <v>53.7</v>
      </c>
      <c r="H1109" s="19">
        <v>43271</v>
      </c>
      <c r="I1109">
        <v>11.695</v>
      </c>
      <c r="K1109" s="19"/>
      <c r="N1109" s="19"/>
    </row>
    <row r="1110" spans="2:14" x14ac:dyDescent="0.25">
      <c r="B1110" s="19">
        <v>43272</v>
      </c>
      <c r="C1110">
        <v>50.8</v>
      </c>
      <c r="E1110" s="19">
        <v>43272</v>
      </c>
      <c r="F1110">
        <v>53.2</v>
      </c>
      <c r="H1110" s="19">
        <v>43272</v>
      </c>
      <c r="I1110">
        <v>11.635</v>
      </c>
      <c r="K1110" s="19"/>
      <c r="N1110" s="19"/>
    </row>
    <row r="1111" spans="2:14" x14ac:dyDescent="0.25">
      <c r="B1111" s="19">
        <v>43273</v>
      </c>
      <c r="C1111">
        <v>52.48</v>
      </c>
      <c r="E1111" s="19">
        <v>43273</v>
      </c>
      <c r="F1111">
        <v>53.92</v>
      </c>
      <c r="H1111" s="19">
        <v>43273</v>
      </c>
      <c r="I1111">
        <v>11.76</v>
      </c>
      <c r="K1111" s="19"/>
      <c r="N1111" s="19"/>
    </row>
    <row r="1112" spans="2:14" x14ac:dyDescent="0.25">
      <c r="B1112" s="19">
        <v>43276</v>
      </c>
      <c r="C1112">
        <v>51.67</v>
      </c>
      <c r="E1112" s="19">
        <v>43276</v>
      </c>
      <c r="F1112">
        <v>52.87</v>
      </c>
      <c r="H1112" s="19">
        <v>43276</v>
      </c>
      <c r="I1112">
        <v>11.62</v>
      </c>
      <c r="K1112" s="19"/>
      <c r="N1112" s="19"/>
    </row>
    <row r="1113" spans="2:14" x14ac:dyDescent="0.25">
      <c r="B1113" s="19">
        <v>43277</v>
      </c>
      <c r="C1113">
        <v>51.48</v>
      </c>
      <c r="E1113" s="19">
        <v>43277</v>
      </c>
      <c r="F1113">
        <v>52.74</v>
      </c>
      <c r="H1113" s="19">
        <v>43277</v>
      </c>
      <c r="I1113">
        <v>11.53</v>
      </c>
      <c r="K1113" s="19"/>
      <c r="N1113" s="19"/>
    </row>
    <row r="1114" spans="2:14" x14ac:dyDescent="0.25">
      <c r="B1114" s="19">
        <v>43278</v>
      </c>
      <c r="C1114">
        <v>52.49</v>
      </c>
      <c r="E1114" s="19">
        <v>43278</v>
      </c>
      <c r="F1114">
        <v>52.85</v>
      </c>
      <c r="H1114" s="19">
        <v>43278</v>
      </c>
      <c r="I1114">
        <v>11.5</v>
      </c>
      <c r="K1114" s="19"/>
      <c r="N1114" s="19"/>
    </row>
    <row r="1115" spans="2:14" x14ac:dyDescent="0.25">
      <c r="B1115" s="19">
        <v>43279</v>
      </c>
      <c r="C1115">
        <v>52.17</v>
      </c>
      <c r="E1115" s="19">
        <v>43279</v>
      </c>
      <c r="F1115">
        <v>52.71</v>
      </c>
      <c r="H1115" s="19">
        <v>43279</v>
      </c>
      <c r="I1115">
        <v>11.4</v>
      </c>
      <c r="K1115" s="19"/>
      <c r="N1115" s="19"/>
    </row>
    <row r="1116" spans="2:14" x14ac:dyDescent="0.25">
      <c r="B1116" s="19">
        <v>43280</v>
      </c>
      <c r="C1116">
        <v>52.21</v>
      </c>
      <c r="E1116" s="19">
        <v>43280</v>
      </c>
      <c r="F1116">
        <v>53.19</v>
      </c>
      <c r="H1116" s="19">
        <v>43280</v>
      </c>
      <c r="I1116">
        <v>11.435</v>
      </c>
      <c r="K1116" s="19"/>
      <c r="N1116" s="19"/>
    </row>
    <row r="1117" spans="2:14" x14ac:dyDescent="0.25">
      <c r="B1117" s="19">
        <v>43283</v>
      </c>
      <c r="C1117">
        <v>52.21</v>
      </c>
      <c r="E1117" s="19">
        <v>43283</v>
      </c>
      <c r="F1117">
        <v>52.94</v>
      </c>
      <c r="H1117" s="19">
        <v>43283</v>
      </c>
      <c r="I1117">
        <v>11.38</v>
      </c>
      <c r="K1117" s="19"/>
      <c r="N1117" s="19"/>
    </row>
    <row r="1118" spans="2:14" x14ac:dyDescent="0.25">
      <c r="B1118" s="19">
        <v>43284</v>
      </c>
      <c r="C1118">
        <v>52.73</v>
      </c>
      <c r="E1118" s="19">
        <v>43284</v>
      </c>
      <c r="F1118">
        <v>53.19</v>
      </c>
      <c r="H1118" s="19">
        <v>43284</v>
      </c>
      <c r="I1118">
        <v>11.42</v>
      </c>
      <c r="K1118" s="19"/>
      <c r="N1118" s="19"/>
    </row>
    <row r="1119" spans="2:14" x14ac:dyDescent="0.25">
      <c r="B1119" s="19">
        <v>43285</v>
      </c>
      <c r="C1119">
        <v>52.96</v>
      </c>
      <c r="E1119" s="19">
        <v>43285</v>
      </c>
      <c r="F1119">
        <v>53.21</v>
      </c>
      <c r="H1119" s="19">
        <v>43285</v>
      </c>
      <c r="I1119">
        <v>11.39</v>
      </c>
      <c r="K1119" s="19"/>
      <c r="N1119" s="19"/>
    </row>
    <row r="1120" spans="2:14" x14ac:dyDescent="0.25">
      <c r="B1120" s="19">
        <v>43286</v>
      </c>
      <c r="C1120">
        <v>53.72</v>
      </c>
      <c r="E1120" s="19">
        <v>43286</v>
      </c>
      <c r="F1120">
        <v>54.14</v>
      </c>
      <c r="H1120" s="19">
        <v>43286</v>
      </c>
      <c r="I1120">
        <v>11.535</v>
      </c>
      <c r="K1120" s="19"/>
      <c r="N1120" s="19"/>
    </row>
    <row r="1121" spans="2:14" x14ac:dyDescent="0.25">
      <c r="B1121" s="19">
        <v>43287</v>
      </c>
      <c r="C1121">
        <v>53.31</v>
      </c>
      <c r="E1121" s="19">
        <v>43287</v>
      </c>
      <c r="F1121">
        <v>53.86</v>
      </c>
      <c r="H1121" s="19">
        <v>43287</v>
      </c>
      <c r="I1121">
        <v>11.51</v>
      </c>
      <c r="K1121" s="19"/>
      <c r="N1121" s="19"/>
    </row>
    <row r="1122" spans="2:14" x14ac:dyDescent="0.25">
      <c r="B1122" s="19">
        <v>43290</v>
      </c>
      <c r="C1122">
        <v>54</v>
      </c>
      <c r="E1122" s="19">
        <v>43290</v>
      </c>
      <c r="F1122">
        <v>53.91</v>
      </c>
      <c r="H1122" s="19">
        <v>43290</v>
      </c>
      <c r="I1122">
        <v>11.61</v>
      </c>
      <c r="K1122" s="19"/>
      <c r="N1122" s="19"/>
    </row>
    <row r="1123" spans="2:14" x14ac:dyDescent="0.25">
      <c r="B1123" s="19">
        <v>43291</v>
      </c>
      <c r="C1123">
        <v>54.62</v>
      </c>
      <c r="E1123" s="19">
        <v>43291</v>
      </c>
      <c r="F1123">
        <v>53.41</v>
      </c>
      <c r="H1123" s="19">
        <v>43291</v>
      </c>
      <c r="I1123">
        <v>11.56</v>
      </c>
      <c r="K1123" s="19"/>
      <c r="N1123" s="19"/>
    </row>
    <row r="1124" spans="2:14" x14ac:dyDescent="0.25">
      <c r="B1124" s="19">
        <v>43292</v>
      </c>
      <c r="C1124">
        <v>53.16</v>
      </c>
      <c r="E1124" s="19">
        <v>43292</v>
      </c>
      <c r="F1124">
        <v>52.59</v>
      </c>
      <c r="H1124" s="19">
        <v>43292</v>
      </c>
      <c r="I1124">
        <v>11.36</v>
      </c>
      <c r="K1124" s="19"/>
      <c r="N1124" s="19"/>
    </row>
    <row r="1125" spans="2:14" x14ac:dyDescent="0.25">
      <c r="B1125" s="19">
        <v>43293</v>
      </c>
      <c r="C1125">
        <v>53.27</v>
      </c>
      <c r="E1125" s="19">
        <v>43293</v>
      </c>
      <c r="F1125">
        <v>52.4</v>
      </c>
      <c r="H1125" s="19">
        <v>43293</v>
      </c>
      <c r="I1125">
        <v>11.3</v>
      </c>
      <c r="K1125" s="19"/>
      <c r="N1125" s="19"/>
    </row>
    <row r="1126" spans="2:14" x14ac:dyDescent="0.25">
      <c r="B1126" s="19">
        <v>43294</v>
      </c>
      <c r="C1126">
        <v>53.33</v>
      </c>
      <c r="E1126" s="19">
        <v>43294</v>
      </c>
      <c r="F1126">
        <v>52.38</v>
      </c>
      <c r="H1126" s="19">
        <v>43294</v>
      </c>
      <c r="I1126">
        <v>11.425000000000001</v>
      </c>
      <c r="K1126" s="19"/>
      <c r="N1126" s="19"/>
    </row>
    <row r="1127" spans="2:14" x14ac:dyDescent="0.25">
      <c r="B1127" s="19">
        <v>43297</v>
      </c>
      <c r="C1127">
        <v>52.79</v>
      </c>
      <c r="E1127" s="19">
        <v>43297</v>
      </c>
      <c r="F1127">
        <v>52.53</v>
      </c>
      <c r="H1127" s="19">
        <v>43297</v>
      </c>
      <c r="I1127">
        <v>11.47</v>
      </c>
      <c r="K1127" s="19"/>
      <c r="N1127" s="19"/>
    </row>
    <row r="1128" spans="2:14" x14ac:dyDescent="0.25">
      <c r="B1128" s="19">
        <v>43298</v>
      </c>
      <c r="C1128">
        <v>52.75</v>
      </c>
      <c r="E1128" s="19">
        <v>43298</v>
      </c>
      <c r="F1128">
        <v>52.14</v>
      </c>
      <c r="H1128" s="19">
        <v>43298</v>
      </c>
      <c r="I1128">
        <v>11.465</v>
      </c>
      <c r="K1128" s="19"/>
      <c r="N1128" s="19"/>
    </row>
    <row r="1129" spans="2:14" x14ac:dyDescent="0.25">
      <c r="B1129" s="19">
        <v>43299</v>
      </c>
      <c r="C1129">
        <v>52.9</v>
      </c>
      <c r="E1129" s="19">
        <v>43299</v>
      </c>
      <c r="F1129">
        <v>52.07</v>
      </c>
      <c r="H1129" s="19">
        <v>43299</v>
      </c>
      <c r="I1129">
        <v>11.445</v>
      </c>
      <c r="K1129" s="19"/>
      <c r="N1129" s="19"/>
    </row>
    <row r="1130" spans="2:14" x14ac:dyDescent="0.25">
      <c r="B1130" s="19">
        <v>43300</v>
      </c>
      <c r="C1130">
        <v>52.88</v>
      </c>
      <c r="E1130" s="19">
        <v>43300</v>
      </c>
      <c r="F1130">
        <v>51.82</v>
      </c>
      <c r="H1130" s="19">
        <v>43300</v>
      </c>
      <c r="I1130">
        <v>11.435</v>
      </c>
      <c r="K1130" s="19"/>
      <c r="N1130" s="19"/>
    </row>
    <row r="1131" spans="2:14" x14ac:dyDescent="0.25">
      <c r="B1131" s="19">
        <v>43301</v>
      </c>
      <c r="C1131">
        <v>52.6</v>
      </c>
      <c r="E1131" s="19">
        <v>43301</v>
      </c>
      <c r="F1131">
        <v>51.7</v>
      </c>
      <c r="H1131" s="19">
        <v>43301</v>
      </c>
      <c r="I1131">
        <v>11.43</v>
      </c>
      <c r="K1131" s="19"/>
      <c r="N1131" s="19"/>
    </row>
    <row r="1132" spans="2:14" x14ac:dyDescent="0.25">
      <c r="B1132" s="19">
        <v>43304</v>
      </c>
      <c r="C1132">
        <v>52.6</v>
      </c>
      <c r="E1132" s="19">
        <v>43304</v>
      </c>
      <c r="F1132">
        <v>52.12</v>
      </c>
      <c r="H1132" s="19">
        <v>43304</v>
      </c>
      <c r="I1132">
        <v>11.5</v>
      </c>
      <c r="K1132" s="19"/>
      <c r="N1132" s="19"/>
    </row>
    <row r="1133" spans="2:14" x14ac:dyDescent="0.25">
      <c r="B1133" s="19">
        <v>43305</v>
      </c>
      <c r="C1133">
        <v>52.87</v>
      </c>
      <c r="E1133" s="19">
        <v>43305</v>
      </c>
      <c r="F1133">
        <v>53.53</v>
      </c>
      <c r="H1133" s="19">
        <v>43305</v>
      </c>
      <c r="I1133">
        <v>11.63</v>
      </c>
      <c r="K1133" s="19"/>
      <c r="N1133" s="19"/>
    </row>
    <row r="1134" spans="2:14" x14ac:dyDescent="0.25">
      <c r="B1134" s="19">
        <v>43306</v>
      </c>
      <c r="C1134">
        <v>52.8</v>
      </c>
      <c r="E1134" s="19">
        <v>43306</v>
      </c>
      <c r="F1134">
        <v>53.17</v>
      </c>
      <c r="H1134" s="19">
        <v>43306</v>
      </c>
      <c r="I1134">
        <v>11.57</v>
      </c>
      <c r="K1134" s="19"/>
      <c r="N1134" s="19"/>
    </row>
    <row r="1135" spans="2:14" x14ac:dyDescent="0.25">
      <c r="B1135" s="19">
        <v>43307</v>
      </c>
      <c r="C1135">
        <v>54</v>
      </c>
      <c r="E1135" s="19">
        <v>43307</v>
      </c>
      <c r="F1135">
        <v>53.84</v>
      </c>
      <c r="H1135" s="19">
        <v>43307</v>
      </c>
      <c r="I1135">
        <v>11.635</v>
      </c>
      <c r="K1135" s="19"/>
      <c r="N1135" s="19"/>
    </row>
    <row r="1136" spans="2:14" x14ac:dyDescent="0.25">
      <c r="B1136" s="19">
        <v>43308</v>
      </c>
      <c r="C1136">
        <v>55</v>
      </c>
      <c r="E1136" s="19">
        <v>43308</v>
      </c>
      <c r="F1136">
        <v>54.8</v>
      </c>
      <c r="H1136" s="19">
        <v>43308</v>
      </c>
      <c r="I1136">
        <v>11.78</v>
      </c>
      <c r="K1136" s="19"/>
      <c r="N1136" s="19"/>
    </row>
    <row r="1137" spans="2:14" x14ac:dyDescent="0.25">
      <c r="B1137" s="19">
        <v>43311</v>
      </c>
      <c r="C1137">
        <v>55.15</v>
      </c>
      <c r="E1137" s="19">
        <v>43311</v>
      </c>
      <c r="F1137">
        <v>55.1</v>
      </c>
      <c r="H1137" s="19">
        <v>43311</v>
      </c>
      <c r="I1137">
        <v>11.9</v>
      </c>
      <c r="K1137" s="19"/>
      <c r="N1137" s="19"/>
    </row>
    <row r="1138" spans="2:14" x14ac:dyDescent="0.25">
      <c r="B1138" s="19">
        <v>43312</v>
      </c>
      <c r="C1138">
        <v>55.86</v>
      </c>
      <c r="E1138" s="19">
        <v>43312</v>
      </c>
      <c r="F1138">
        <v>55.67</v>
      </c>
      <c r="H1138" s="19">
        <v>43312</v>
      </c>
      <c r="I1138">
        <v>12.015000000000001</v>
      </c>
      <c r="K1138" s="19"/>
      <c r="N1138" s="19"/>
    </row>
    <row r="1139" spans="2:14" x14ac:dyDescent="0.25">
      <c r="B1139" s="19">
        <v>43313</v>
      </c>
      <c r="C1139">
        <v>55.48</v>
      </c>
      <c r="E1139" s="19">
        <v>43313</v>
      </c>
      <c r="F1139">
        <v>55.41</v>
      </c>
      <c r="H1139" s="19">
        <v>43313</v>
      </c>
      <c r="I1139">
        <v>11.98</v>
      </c>
      <c r="K1139" s="19"/>
      <c r="N1139" s="19"/>
    </row>
    <row r="1140" spans="2:14" x14ac:dyDescent="0.25">
      <c r="B1140" s="19">
        <v>43314</v>
      </c>
      <c r="C1140">
        <v>54.95</v>
      </c>
      <c r="E1140" s="19">
        <v>43314</v>
      </c>
      <c r="F1140">
        <v>54.62</v>
      </c>
      <c r="H1140" s="19">
        <v>43314</v>
      </c>
      <c r="I1140">
        <v>11.95</v>
      </c>
      <c r="K1140" s="19"/>
      <c r="N1140" s="19"/>
    </row>
    <row r="1141" spans="2:14" x14ac:dyDescent="0.25">
      <c r="B1141" s="19">
        <v>43315</v>
      </c>
      <c r="C1141">
        <v>54.78</v>
      </c>
      <c r="E1141" s="19">
        <v>43315</v>
      </c>
      <c r="F1141">
        <v>54.42</v>
      </c>
      <c r="H1141" s="19">
        <v>43315</v>
      </c>
      <c r="I1141">
        <v>12.225</v>
      </c>
      <c r="K1141" s="19"/>
      <c r="N1141" s="19"/>
    </row>
    <row r="1142" spans="2:14" x14ac:dyDescent="0.25">
      <c r="B1142" s="19">
        <v>43318</v>
      </c>
      <c r="C1142">
        <v>54.95</v>
      </c>
      <c r="E1142" s="19">
        <v>43318</v>
      </c>
      <c r="F1142">
        <v>54.03</v>
      </c>
      <c r="H1142" s="19">
        <v>43318</v>
      </c>
      <c r="I1142">
        <v>12.335000000000001</v>
      </c>
      <c r="K1142" s="19"/>
      <c r="N1142" s="19"/>
    </row>
    <row r="1143" spans="2:14" x14ac:dyDescent="0.25">
      <c r="B1143" s="19">
        <v>43319</v>
      </c>
      <c r="C1143">
        <v>55.96</v>
      </c>
      <c r="E1143" s="19">
        <v>43319</v>
      </c>
      <c r="F1143">
        <v>54.54</v>
      </c>
      <c r="H1143" s="19">
        <v>43319</v>
      </c>
      <c r="I1143">
        <v>12.49</v>
      </c>
      <c r="K1143" s="19"/>
      <c r="N1143" s="19"/>
    </row>
    <row r="1144" spans="2:14" x14ac:dyDescent="0.25">
      <c r="B1144" s="19">
        <v>43320</v>
      </c>
      <c r="C1144">
        <v>55.5</v>
      </c>
      <c r="E1144" s="19">
        <v>43320</v>
      </c>
      <c r="F1144">
        <v>54.4</v>
      </c>
      <c r="H1144" s="19">
        <v>43320</v>
      </c>
      <c r="I1144">
        <v>12.44</v>
      </c>
      <c r="K1144" s="19"/>
      <c r="N1144" s="19"/>
    </row>
    <row r="1145" spans="2:14" x14ac:dyDescent="0.25">
      <c r="B1145" s="19">
        <v>43321</v>
      </c>
      <c r="C1145">
        <v>55.26</v>
      </c>
      <c r="E1145" s="19">
        <v>43321</v>
      </c>
      <c r="F1145">
        <v>54.18</v>
      </c>
      <c r="H1145" s="19">
        <v>43321</v>
      </c>
      <c r="I1145">
        <v>12.43</v>
      </c>
      <c r="K1145" s="19"/>
      <c r="N1145" s="19"/>
    </row>
    <row r="1146" spans="2:14" x14ac:dyDescent="0.25">
      <c r="B1146" s="19">
        <v>43322</v>
      </c>
      <c r="C1146">
        <v>53.95</v>
      </c>
      <c r="E1146" s="19">
        <v>43322</v>
      </c>
      <c r="F1146">
        <v>52.56</v>
      </c>
      <c r="H1146" s="19">
        <v>43322</v>
      </c>
      <c r="I1146">
        <v>12.175000000000001</v>
      </c>
      <c r="K1146" s="19"/>
      <c r="N1146" s="19"/>
    </row>
    <row r="1147" spans="2:14" x14ac:dyDescent="0.25">
      <c r="B1147" s="19">
        <v>43325</v>
      </c>
      <c r="C1147">
        <v>54.09</v>
      </c>
      <c r="E1147" s="19">
        <v>43325</v>
      </c>
      <c r="F1147">
        <v>52.01</v>
      </c>
      <c r="H1147" s="19">
        <v>43325</v>
      </c>
      <c r="I1147">
        <v>12.03</v>
      </c>
      <c r="K1147" s="19"/>
      <c r="N1147" s="19"/>
    </row>
    <row r="1148" spans="2:14" x14ac:dyDescent="0.25">
      <c r="B1148" s="19">
        <v>43326</v>
      </c>
      <c r="C1148">
        <v>53.55</v>
      </c>
      <c r="E1148" s="19">
        <v>43326</v>
      </c>
      <c r="F1148">
        <v>51.86</v>
      </c>
      <c r="H1148" s="19">
        <v>43326</v>
      </c>
      <c r="I1148">
        <v>11.83</v>
      </c>
      <c r="K1148" s="19"/>
      <c r="N1148" s="19"/>
    </row>
    <row r="1149" spans="2:14" x14ac:dyDescent="0.25">
      <c r="B1149" s="19">
        <v>43327</v>
      </c>
      <c r="C1149">
        <v>52.07</v>
      </c>
      <c r="E1149" s="19">
        <v>43327</v>
      </c>
      <c r="F1149">
        <v>51.4</v>
      </c>
      <c r="H1149" s="19">
        <v>43327</v>
      </c>
      <c r="I1149">
        <v>11.731999999999999</v>
      </c>
      <c r="K1149" s="19"/>
      <c r="N1149" s="19"/>
    </row>
    <row r="1150" spans="2:14" x14ac:dyDescent="0.25">
      <c r="B1150" s="19">
        <v>43328</v>
      </c>
      <c r="C1150">
        <v>52.36</v>
      </c>
      <c r="E1150" s="19">
        <v>43328</v>
      </c>
      <c r="F1150">
        <v>51.4</v>
      </c>
      <c r="H1150" s="19">
        <v>43328</v>
      </c>
      <c r="I1150">
        <v>11.837999999999999</v>
      </c>
      <c r="K1150" s="19"/>
      <c r="N1150" s="19"/>
    </row>
    <row r="1151" spans="2:14" x14ac:dyDescent="0.25">
      <c r="B1151" s="19">
        <v>43329</v>
      </c>
      <c r="C1151">
        <v>52.4</v>
      </c>
      <c r="E1151" s="19">
        <v>43329</v>
      </c>
      <c r="F1151">
        <v>50.99</v>
      </c>
      <c r="H1151" s="19">
        <v>43329</v>
      </c>
      <c r="I1151">
        <v>11.795999999999999</v>
      </c>
      <c r="K1151" s="19"/>
      <c r="N1151" s="19"/>
    </row>
    <row r="1152" spans="2:14" x14ac:dyDescent="0.25">
      <c r="B1152" s="19">
        <v>43332</v>
      </c>
      <c r="C1152">
        <v>52.9</v>
      </c>
      <c r="E1152" s="19">
        <v>43332</v>
      </c>
      <c r="F1152">
        <v>51.18</v>
      </c>
      <c r="H1152" s="19">
        <v>43332</v>
      </c>
      <c r="I1152">
        <v>11.82</v>
      </c>
      <c r="K1152" s="19"/>
      <c r="N1152" s="19"/>
    </row>
    <row r="1153" spans="2:14" x14ac:dyDescent="0.25">
      <c r="B1153" s="19">
        <v>43333</v>
      </c>
      <c r="C1153">
        <v>53.21</v>
      </c>
      <c r="E1153" s="19">
        <v>43333</v>
      </c>
      <c r="F1153">
        <v>51.78</v>
      </c>
      <c r="H1153" s="19">
        <v>43333</v>
      </c>
      <c r="I1153">
        <v>11.91</v>
      </c>
      <c r="K1153" s="19"/>
      <c r="N1153" s="19"/>
    </row>
    <row r="1154" spans="2:14" x14ac:dyDescent="0.25">
      <c r="B1154" s="19">
        <v>43334</v>
      </c>
      <c r="C1154">
        <v>53.73</v>
      </c>
      <c r="E1154" s="19">
        <v>43334</v>
      </c>
      <c r="F1154">
        <v>52.07</v>
      </c>
      <c r="H1154" s="19">
        <v>43334</v>
      </c>
      <c r="I1154">
        <v>12.102</v>
      </c>
      <c r="K1154" s="19"/>
      <c r="N1154" s="19"/>
    </row>
    <row r="1155" spans="2:14" x14ac:dyDescent="0.25">
      <c r="B1155" s="19">
        <v>43335</v>
      </c>
      <c r="C1155">
        <v>54.17</v>
      </c>
      <c r="E1155" s="19">
        <v>43335</v>
      </c>
      <c r="F1155">
        <v>52</v>
      </c>
      <c r="H1155" s="19">
        <v>43335</v>
      </c>
      <c r="I1155">
        <v>12.023999999999999</v>
      </c>
      <c r="K1155" s="19"/>
      <c r="N1155" s="19"/>
    </row>
    <row r="1156" spans="2:14" x14ac:dyDescent="0.25">
      <c r="B1156" s="19">
        <v>43336</v>
      </c>
      <c r="C1156">
        <v>54.87</v>
      </c>
      <c r="E1156" s="19">
        <v>43336</v>
      </c>
      <c r="F1156">
        <v>51.97</v>
      </c>
      <c r="H1156" s="19">
        <v>43336</v>
      </c>
      <c r="I1156">
        <v>11.976000000000001</v>
      </c>
      <c r="K1156" s="19"/>
      <c r="N1156" s="19"/>
    </row>
    <row r="1157" spans="2:14" x14ac:dyDescent="0.25">
      <c r="B1157" s="19">
        <v>43339</v>
      </c>
      <c r="C1157">
        <v>55.42</v>
      </c>
      <c r="E1157" s="19">
        <v>43339</v>
      </c>
      <c r="F1157">
        <v>52.46</v>
      </c>
      <c r="H1157" s="19">
        <v>43339</v>
      </c>
      <c r="I1157">
        <v>12.054</v>
      </c>
      <c r="K1157" s="19"/>
      <c r="N1157" s="19"/>
    </row>
    <row r="1158" spans="2:14" x14ac:dyDescent="0.25">
      <c r="B1158" s="19">
        <v>43340</v>
      </c>
      <c r="C1158">
        <v>54.8</v>
      </c>
      <c r="E1158" s="19">
        <v>43340</v>
      </c>
      <c r="F1158">
        <v>51.99</v>
      </c>
      <c r="H1158" s="19">
        <v>43340</v>
      </c>
      <c r="I1158">
        <v>12.004</v>
      </c>
      <c r="K1158" s="19"/>
      <c r="N1158" s="19"/>
    </row>
    <row r="1159" spans="2:14" x14ac:dyDescent="0.25">
      <c r="B1159" s="19">
        <v>43341</v>
      </c>
      <c r="C1159">
        <v>54.85</v>
      </c>
      <c r="E1159" s="19">
        <v>43341</v>
      </c>
      <c r="F1159">
        <v>52</v>
      </c>
      <c r="H1159" s="19">
        <v>43341</v>
      </c>
      <c r="I1159">
        <v>11.98</v>
      </c>
      <c r="K1159" s="19"/>
      <c r="N1159" s="19"/>
    </row>
    <row r="1160" spans="2:14" x14ac:dyDescent="0.25">
      <c r="B1160" s="19">
        <v>43342</v>
      </c>
      <c r="C1160">
        <v>54.65</v>
      </c>
      <c r="E1160" s="19">
        <v>43342</v>
      </c>
      <c r="F1160">
        <v>51.3</v>
      </c>
      <c r="H1160" s="19">
        <v>43342</v>
      </c>
      <c r="I1160">
        <v>11.891999999999999</v>
      </c>
      <c r="K1160" s="19"/>
      <c r="N1160" s="19"/>
    </row>
    <row r="1161" spans="2:14" x14ac:dyDescent="0.25">
      <c r="B1161" s="19">
        <v>43343</v>
      </c>
      <c r="C1161">
        <v>53.87</v>
      </c>
      <c r="E1161" s="19">
        <v>43343</v>
      </c>
      <c r="F1161">
        <v>50.58</v>
      </c>
      <c r="H1161" s="19">
        <v>43343</v>
      </c>
      <c r="I1161">
        <v>11.792</v>
      </c>
      <c r="K1161" s="19"/>
      <c r="N1161" s="19"/>
    </row>
    <row r="1162" spans="2:14" x14ac:dyDescent="0.25">
      <c r="B1162" s="19">
        <v>43346</v>
      </c>
      <c r="C1162">
        <v>54.14</v>
      </c>
      <c r="E1162" s="19">
        <v>43346</v>
      </c>
      <c r="F1162">
        <v>50.66</v>
      </c>
      <c r="H1162" s="19">
        <v>43346</v>
      </c>
      <c r="I1162">
        <v>11.884</v>
      </c>
      <c r="K1162" s="19"/>
      <c r="N1162" s="19"/>
    </row>
    <row r="1163" spans="2:14" x14ac:dyDescent="0.25">
      <c r="B1163" s="19">
        <v>43347</v>
      </c>
      <c r="C1163">
        <v>53.63</v>
      </c>
      <c r="E1163" s="19">
        <v>43347</v>
      </c>
      <c r="F1163">
        <v>50.88</v>
      </c>
      <c r="H1163" s="19">
        <v>43347</v>
      </c>
      <c r="I1163">
        <v>12.08</v>
      </c>
      <c r="K1163" s="19"/>
      <c r="N1163" s="19"/>
    </row>
    <row r="1164" spans="2:14" x14ac:dyDescent="0.25">
      <c r="B1164" s="19">
        <v>43348</v>
      </c>
      <c r="C1164">
        <v>52.53</v>
      </c>
      <c r="E1164" s="19">
        <v>43348</v>
      </c>
      <c r="F1164">
        <v>51.11</v>
      </c>
      <c r="H1164" s="19">
        <v>43348</v>
      </c>
      <c r="I1164">
        <v>12.273999999999999</v>
      </c>
      <c r="K1164" s="19"/>
      <c r="N1164" s="19"/>
    </row>
    <row r="1165" spans="2:14" x14ac:dyDescent="0.25">
      <c r="B1165" s="19">
        <v>43349</v>
      </c>
      <c r="C1165">
        <v>52.03</v>
      </c>
      <c r="E1165" s="19">
        <v>43349</v>
      </c>
      <c r="F1165">
        <v>50.99</v>
      </c>
      <c r="H1165" s="19">
        <v>43349</v>
      </c>
      <c r="I1165">
        <v>12.268000000000001</v>
      </c>
      <c r="K1165" s="19"/>
      <c r="N1165" s="19"/>
    </row>
    <row r="1166" spans="2:14" x14ac:dyDescent="0.25">
      <c r="B1166" s="19">
        <v>43350</v>
      </c>
      <c r="C1166">
        <v>51.99</v>
      </c>
      <c r="E1166" s="19">
        <v>43350</v>
      </c>
      <c r="F1166">
        <v>50.45</v>
      </c>
      <c r="H1166" s="19">
        <v>43350</v>
      </c>
      <c r="I1166">
        <v>12.071999999999999</v>
      </c>
      <c r="K1166" s="19"/>
      <c r="N1166" s="19"/>
    </row>
    <row r="1167" spans="2:14" x14ac:dyDescent="0.25">
      <c r="B1167" s="19">
        <v>43353</v>
      </c>
      <c r="C1167">
        <v>51.88</v>
      </c>
      <c r="E1167" s="19">
        <v>43353</v>
      </c>
      <c r="F1167">
        <v>50.61</v>
      </c>
      <c r="H1167" s="19">
        <v>43353</v>
      </c>
      <c r="I1167">
        <v>12.186</v>
      </c>
      <c r="K1167" s="19"/>
      <c r="N1167" s="19"/>
    </row>
    <row r="1168" spans="2:14" x14ac:dyDescent="0.25">
      <c r="B1168" s="19">
        <v>43354</v>
      </c>
      <c r="C1168">
        <v>52.98</v>
      </c>
      <c r="E1168" s="19">
        <v>43354</v>
      </c>
      <c r="F1168">
        <v>50.63</v>
      </c>
      <c r="H1168" s="19">
        <v>43354</v>
      </c>
      <c r="I1168">
        <v>12.154</v>
      </c>
      <c r="K1168" s="19"/>
      <c r="N1168" s="19"/>
    </row>
    <row r="1169" spans="2:14" x14ac:dyDescent="0.25">
      <c r="B1169" s="19">
        <v>43355</v>
      </c>
      <c r="C1169">
        <v>53.88</v>
      </c>
      <c r="E1169" s="19">
        <v>43355</v>
      </c>
      <c r="F1169">
        <v>50.6</v>
      </c>
      <c r="H1169" s="19">
        <v>43355</v>
      </c>
      <c r="I1169">
        <v>12.092000000000001</v>
      </c>
      <c r="K1169" s="19"/>
      <c r="N1169" s="19"/>
    </row>
    <row r="1170" spans="2:14" x14ac:dyDescent="0.25">
      <c r="B1170" s="19">
        <v>43356</v>
      </c>
      <c r="C1170">
        <v>53.53</v>
      </c>
      <c r="E1170" s="19">
        <v>43356</v>
      </c>
      <c r="F1170">
        <v>51.29</v>
      </c>
      <c r="H1170" s="19">
        <v>43356</v>
      </c>
      <c r="I1170">
        <v>12.29</v>
      </c>
      <c r="K1170" s="19"/>
      <c r="N1170" s="19"/>
    </row>
    <row r="1171" spans="2:14" x14ac:dyDescent="0.25">
      <c r="B1171" s="19">
        <v>43357</v>
      </c>
      <c r="C1171">
        <v>53.86</v>
      </c>
      <c r="E1171" s="19">
        <v>43357</v>
      </c>
      <c r="F1171">
        <v>51.54</v>
      </c>
      <c r="H1171" s="19">
        <v>43357</v>
      </c>
      <c r="I1171">
        <v>12.358000000000001</v>
      </c>
      <c r="K1171" s="19"/>
      <c r="N1171" s="19"/>
    </row>
    <row r="1172" spans="2:14" x14ac:dyDescent="0.25">
      <c r="B1172" s="19">
        <v>43360</v>
      </c>
      <c r="C1172">
        <v>53.71</v>
      </c>
      <c r="E1172" s="19">
        <v>43360</v>
      </c>
      <c r="F1172">
        <v>51.83</v>
      </c>
      <c r="H1172" s="19">
        <v>43360</v>
      </c>
      <c r="I1172">
        <v>12.488</v>
      </c>
      <c r="K1172" s="19"/>
      <c r="N1172" s="19"/>
    </row>
    <row r="1173" spans="2:14" x14ac:dyDescent="0.25">
      <c r="B1173" s="19">
        <v>43361</v>
      </c>
      <c r="C1173">
        <v>53.98</v>
      </c>
      <c r="E1173" s="19">
        <v>43361</v>
      </c>
      <c r="F1173">
        <v>51.89</v>
      </c>
      <c r="H1173" s="19">
        <v>43361</v>
      </c>
      <c r="I1173">
        <v>12.504</v>
      </c>
      <c r="K1173" s="19"/>
      <c r="N1173" s="19"/>
    </row>
    <row r="1174" spans="2:14" x14ac:dyDescent="0.25">
      <c r="B1174" s="19">
        <v>43362</v>
      </c>
      <c r="C1174">
        <v>54.05</v>
      </c>
      <c r="E1174" s="19">
        <v>43362</v>
      </c>
      <c r="F1174">
        <v>52.96</v>
      </c>
      <c r="H1174" s="19">
        <v>43362</v>
      </c>
      <c r="I1174">
        <v>12.69</v>
      </c>
      <c r="K1174" s="19"/>
      <c r="N1174" s="19"/>
    </row>
    <row r="1175" spans="2:14" x14ac:dyDescent="0.25">
      <c r="B1175" s="19">
        <v>43363</v>
      </c>
      <c r="C1175">
        <v>54.74</v>
      </c>
      <c r="E1175" s="19">
        <v>43363</v>
      </c>
      <c r="F1175">
        <v>54.31</v>
      </c>
      <c r="H1175" s="19">
        <v>43363</v>
      </c>
      <c r="I1175">
        <v>12.923999999999999</v>
      </c>
      <c r="K1175" s="19"/>
      <c r="N1175" s="19"/>
    </row>
    <row r="1176" spans="2:14" x14ac:dyDescent="0.25">
      <c r="B1176" s="19">
        <v>43364</v>
      </c>
      <c r="C1176">
        <v>54.9</v>
      </c>
      <c r="E1176" s="19">
        <v>43364</v>
      </c>
      <c r="F1176">
        <v>54.53</v>
      </c>
      <c r="H1176" s="19">
        <v>43364</v>
      </c>
      <c r="I1176">
        <v>12.986000000000001</v>
      </c>
      <c r="K1176" s="19"/>
      <c r="N1176" s="19"/>
    </row>
    <row r="1177" spans="2:14" x14ac:dyDescent="0.25">
      <c r="B1177" s="19">
        <v>43367</v>
      </c>
      <c r="C1177">
        <v>55.53</v>
      </c>
      <c r="E1177" s="19">
        <v>43367</v>
      </c>
      <c r="F1177">
        <v>54.58</v>
      </c>
      <c r="H1177" s="19">
        <v>43367</v>
      </c>
      <c r="I1177">
        <v>12.798</v>
      </c>
      <c r="K1177" s="19"/>
      <c r="N1177" s="19"/>
    </row>
    <row r="1178" spans="2:14" x14ac:dyDescent="0.25">
      <c r="B1178" s="19">
        <v>43368</v>
      </c>
      <c r="C1178">
        <v>55.59</v>
      </c>
      <c r="E1178" s="19">
        <v>43368</v>
      </c>
      <c r="F1178">
        <v>54.68</v>
      </c>
      <c r="H1178" s="19">
        <v>43368</v>
      </c>
      <c r="I1178">
        <v>12.885999999999999</v>
      </c>
      <c r="K1178" s="19"/>
      <c r="N1178" s="19"/>
    </row>
    <row r="1179" spans="2:14" x14ac:dyDescent="0.25">
      <c r="B1179" s="19">
        <v>43369</v>
      </c>
      <c r="C1179">
        <v>55.43</v>
      </c>
      <c r="E1179" s="19">
        <v>43369</v>
      </c>
      <c r="F1179">
        <v>54.63</v>
      </c>
      <c r="H1179" s="19">
        <v>43369</v>
      </c>
      <c r="I1179">
        <v>12.946</v>
      </c>
      <c r="K1179" s="19"/>
      <c r="N1179" s="19"/>
    </row>
    <row r="1180" spans="2:14" x14ac:dyDescent="0.25">
      <c r="B1180" s="19">
        <v>43370</v>
      </c>
      <c r="C1180">
        <v>56.02</v>
      </c>
      <c r="E1180" s="19">
        <v>43370</v>
      </c>
      <c r="F1180">
        <v>54.47</v>
      </c>
      <c r="H1180" s="19">
        <v>43370</v>
      </c>
      <c r="I1180">
        <v>12.948</v>
      </c>
      <c r="K1180" s="19"/>
      <c r="N1180" s="19"/>
    </row>
    <row r="1181" spans="2:14" x14ac:dyDescent="0.25">
      <c r="B1181" s="19">
        <v>43371</v>
      </c>
      <c r="C1181">
        <v>55.84</v>
      </c>
      <c r="E1181" s="19">
        <v>43371</v>
      </c>
      <c r="F1181">
        <v>52.71</v>
      </c>
      <c r="H1181" s="19">
        <v>43371</v>
      </c>
      <c r="I1181">
        <v>12.385999999999999</v>
      </c>
      <c r="K1181" s="19"/>
      <c r="N1181" s="19"/>
    </row>
    <row r="1182" spans="2:14" x14ac:dyDescent="0.25">
      <c r="B1182" s="19">
        <v>43374</v>
      </c>
      <c r="C1182">
        <v>56.37</v>
      </c>
      <c r="E1182" s="19">
        <v>43374</v>
      </c>
      <c r="F1182">
        <v>51.99</v>
      </c>
      <c r="H1182" s="19">
        <v>43374</v>
      </c>
      <c r="I1182">
        <v>12.138</v>
      </c>
      <c r="K1182" s="19"/>
      <c r="N1182" s="19"/>
    </row>
    <row r="1183" spans="2:14" x14ac:dyDescent="0.25">
      <c r="B1183" s="19">
        <v>43375</v>
      </c>
      <c r="C1183">
        <v>56.2</v>
      </c>
      <c r="E1183" s="19">
        <v>43375</v>
      </c>
      <c r="F1183">
        <v>51.98</v>
      </c>
      <c r="H1183" s="19">
        <v>43375</v>
      </c>
      <c r="I1183">
        <v>12.214</v>
      </c>
      <c r="K1183" s="19"/>
      <c r="N1183" s="19"/>
    </row>
    <row r="1184" spans="2:14" x14ac:dyDescent="0.25">
      <c r="B1184" s="19">
        <v>43376</v>
      </c>
      <c r="C1184">
        <v>56.3</v>
      </c>
      <c r="E1184" s="19">
        <v>43376</v>
      </c>
      <c r="F1184">
        <v>52.14</v>
      </c>
      <c r="H1184" s="19">
        <v>43376</v>
      </c>
      <c r="I1184">
        <v>12.398</v>
      </c>
      <c r="K1184" s="19"/>
      <c r="N1184" s="19"/>
    </row>
    <row r="1185" spans="2:14" x14ac:dyDescent="0.25">
      <c r="B1185" s="19">
        <v>43377</v>
      </c>
      <c r="C1185">
        <v>56.07</v>
      </c>
      <c r="E1185" s="19">
        <v>43377</v>
      </c>
      <c r="F1185">
        <v>52.3</v>
      </c>
      <c r="H1185" s="19">
        <v>43377</v>
      </c>
      <c r="I1185">
        <v>12.67</v>
      </c>
      <c r="K1185" s="19"/>
      <c r="N1185" s="19"/>
    </row>
    <row r="1186" spans="2:14" x14ac:dyDescent="0.25">
      <c r="B1186" s="19">
        <v>43378</v>
      </c>
      <c r="C1186">
        <v>55.13</v>
      </c>
      <c r="E1186" s="19">
        <v>43378</v>
      </c>
      <c r="F1186">
        <v>51.85</v>
      </c>
      <c r="H1186" s="19">
        <v>43378</v>
      </c>
      <c r="I1186">
        <v>12.602</v>
      </c>
      <c r="K1186" s="19"/>
      <c r="N1186" s="19"/>
    </row>
    <row r="1187" spans="2:14" x14ac:dyDescent="0.25">
      <c r="B1187" s="19">
        <v>43381</v>
      </c>
      <c r="C1187">
        <v>54.05</v>
      </c>
      <c r="E1187" s="19">
        <v>43381</v>
      </c>
      <c r="F1187">
        <v>51.15</v>
      </c>
      <c r="H1187" s="19">
        <v>43381</v>
      </c>
      <c r="I1187">
        <v>12.375999999999999</v>
      </c>
      <c r="K1187" s="19"/>
      <c r="N1187" s="19"/>
    </row>
    <row r="1188" spans="2:14" x14ac:dyDescent="0.25">
      <c r="B1188" s="19">
        <v>43382</v>
      </c>
      <c r="C1188">
        <v>54.83</v>
      </c>
      <c r="E1188" s="19">
        <v>43382</v>
      </c>
      <c r="F1188">
        <v>51.23</v>
      </c>
      <c r="H1188" s="19">
        <v>43382</v>
      </c>
      <c r="I1188">
        <v>12.47</v>
      </c>
      <c r="K1188" s="19"/>
      <c r="N1188" s="19"/>
    </row>
    <row r="1189" spans="2:14" x14ac:dyDescent="0.25">
      <c r="B1189" s="19">
        <v>43383</v>
      </c>
      <c r="C1189">
        <v>55.1</v>
      </c>
      <c r="E1189" s="19">
        <v>43383</v>
      </c>
      <c r="F1189">
        <v>51.47</v>
      </c>
      <c r="H1189" s="19">
        <v>43383</v>
      </c>
      <c r="I1189">
        <v>12.507999999999999</v>
      </c>
      <c r="K1189" s="19"/>
      <c r="N1189" s="19"/>
    </row>
    <row r="1190" spans="2:14" x14ac:dyDescent="0.25">
      <c r="B1190" s="19">
        <v>43384</v>
      </c>
      <c r="C1190">
        <v>53.21</v>
      </c>
      <c r="E1190" s="19">
        <v>43384</v>
      </c>
      <c r="F1190">
        <v>50.19</v>
      </c>
      <c r="H1190" s="19">
        <v>43384</v>
      </c>
      <c r="I1190">
        <v>12.244</v>
      </c>
      <c r="K1190" s="19"/>
      <c r="N1190" s="19"/>
    </row>
    <row r="1191" spans="2:14" x14ac:dyDescent="0.25">
      <c r="B1191" s="19">
        <v>43385</v>
      </c>
      <c r="C1191">
        <v>52.93</v>
      </c>
      <c r="E1191" s="19">
        <v>43385</v>
      </c>
      <c r="F1191">
        <v>49.914999999999999</v>
      </c>
      <c r="H1191" s="19">
        <v>43385</v>
      </c>
      <c r="I1191">
        <v>12.156000000000001</v>
      </c>
      <c r="K1191" s="19"/>
      <c r="N1191" s="19"/>
    </row>
    <row r="1192" spans="2:14" x14ac:dyDescent="0.25">
      <c r="B1192" s="19">
        <v>43388</v>
      </c>
      <c r="C1192">
        <v>53.55</v>
      </c>
      <c r="E1192" s="19">
        <v>43388</v>
      </c>
      <c r="F1192">
        <v>49.5</v>
      </c>
      <c r="H1192" s="19">
        <v>43388</v>
      </c>
      <c r="I1192">
        <v>12.112</v>
      </c>
      <c r="K1192" s="19"/>
      <c r="N1192" s="19"/>
    </row>
    <row r="1193" spans="2:14" x14ac:dyDescent="0.25">
      <c r="B1193" s="19">
        <v>43389</v>
      </c>
      <c r="C1193">
        <v>53.82</v>
      </c>
      <c r="E1193" s="19">
        <v>43389</v>
      </c>
      <c r="F1193">
        <v>49.72</v>
      </c>
      <c r="H1193" s="19">
        <v>43389</v>
      </c>
      <c r="I1193">
        <v>12.132</v>
      </c>
      <c r="K1193" s="19"/>
      <c r="N1193" s="19"/>
    </row>
    <row r="1194" spans="2:14" x14ac:dyDescent="0.25">
      <c r="B1194" s="19">
        <v>43390</v>
      </c>
      <c r="C1194">
        <v>53.46</v>
      </c>
      <c r="E1194" s="19">
        <v>43390</v>
      </c>
      <c r="F1194">
        <v>49.6</v>
      </c>
      <c r="H1194" s="19">
        <v>43390</v>
      </c>
      <c r="I1194">
        <v>12.16</v>
      </c>
      <c r="K1194" s="19"/>
      <c r="N1194" s="19"/>
    </row>
    <row r="1195" spans="2:14" x14ac:dyDescent="0.25">
      <c r="B1195" s="19">
        <v>43391</v>
      </c>
      <c r="C1195">
        <v>52.8</v>
      </c>
      <c r="E1195" s="19">
        <v>43391</v>
      </c>
      <c r="F1195">
        <v>49.225000000000001</v>
      </c>
      <c r="H1195" s="19">
        <v>43391</v>
      </c>
      <c r="I1195">
        <v>12.116</v>
      </c>
      <c r="K1195" s="19"/>
      <c r="N1195" s="19"/>
    </row>
    <row r="1196" spans="2:14" x14ac:dyDescent="0.25">
      <c r="B1196" s="19">
        <v>43392</v>
      </c>
      <c r="C1196">
        <v>52.83</v>
      </c>
      <c r="E1196" s="19">
        <v>43392</v>
      </c>
      <c r="F1196">
        <v>48.725000000000001</v>
      </c>
      <c r="H1196" s="19">
        <v>43392</v>
      </c>
      <c r="I1196">
        <v>11.891999999999999</v>
      </c>
      <c r="K1196" s="19"/>
      <c r="N1196" s="19"/>
    </row>
    <row r="1197" spans="2:14" x14ac:dyDescent="0.25">
      <c r="B1197" s="19">
        <v>43395</v>
      </c>
      <c r="C1197">
        <v>52.08</v>
      </c>
      <c r="E1197" s="19">
        <v>43395</v>
      </c>
      <c r="F1197">
        <v>48.305</v>
      </c>
      <c r="H1197" s="19">
        <v>43395</v>
      </c>
      <c r="I1197">
        <v>11.76</v>
      </c>
      <c r="K1197" s="19"/>
      <c r="N1197" s="19"/>
    </row>
    <row r="1198" spans="2:14" x14ac:dyDescent="0.25">
      <c r="B1198" s="19">
        <v>43396</v>
      </c>
      <c r="C1198">
        <v>51.06</v>
      </c>
      <c r="E1198" s="19">
        <v>43396</v>
      </c>
      <c r="F1198">
        <v>47.56</v>
      </c>
      <c r="H1198" s="19">
        <v>43396</v>
      </c>
      <c r="I1198">
        <v>11.545999999999999</v>
      </c>
      <c r="K1198" s="19"/>
      <c r="N1198" s="19"/>
    </row>
    <row r="1199" spans="2:14" x14ac:dyDescent="0.25">
      <c r="B1199" s="19">
        <v>43397</v>
      </c>
      <c r="C1199">
        <v>50.64</v>
      </c>
      <c r="E1199" s="19">
        <v>43397</v>
      </c>
      <c r="F1199">
        <v>46.46</v>
      </c>
      <c r="H1199" s="19">
        <v>43397</v>
      </c>
      <c r="I1199">
        <v>11.3</v>
      </c>
      <c r="K1199" s="19"/>
      <c r="N1199" s="19"/>
    </row>
    <row r="1200" spans="2:14" x14ac:dyDescent="0.25">
      <c r="B1200" s="19">
        <v>43398</v>
      </c>
      <c r="C1200">
        <v>51.41</v>
      </c>
      <c r="E1200" s="19">
        <v>43398</v>
      </c>
      <c r="F1200">
        <v>47.155000000000001</v>
      </c>
      <c r="H1200" s="19">
        <v>43398</v>
      </c>
      <c r="I1200">
        <v>11.362</v>
      </c>
      <c r="K1200" s="19"/>
      <c r="N1200" s="19"/>
    </row>
    <row r="1201" spans="2:14" x14ac:dyDescent="0.25">
      <c r="B1201" s="19">
        <v>43399</v>
      </c>
      <c r="C1201">
        <v>50.63</v>
      </c>
      <c r="E1201" s="19">
        <v>43399</v>
      </c>
      <c r="F1201">
        <v>46.88</v>
      </c>
      <c r="H1201" s="19">
        <v>43399</v>
      </c>
      <c r="I1201">
        <v>11.172000000000001</v>
      </c>
      <c r="K1201" s="19"/>
      <c r="N1201" s="19"/>
    </row>
    <row r="1202" spans="2:14" x14ac:dyDescent="0.25">
      <c r="B1202" s="19">
        <v>43402</v>
      </c>
      <c r="C1202">
        <v>50.98</v>
      </c>
      <c r="E1202" s="19">
        <v>43402</v>
      </c>
      <c r="F1202">
        <v>47.475000000000001</v>
      </c>
      <c r="H1202" s="19">
        <v>43402</v>
      </c>
      <c r="I1202">
        <v>11.32</v>
      </c>
      <c r="K1202" s="19"/>
      <c r="N1202" s="19"/>
    </row>
    <row r="1203" spans="2:14" x14ac:dyDescent="0.25">
      <c r="B1203" s="19">
        <v>43403</v>
      </c>
      <c r="C1203">
        <v>50.74</v>
      </c>
      <c r="E1203" s="19">
        <v>43403</v>
      </c>
      <c r="F1203">
        <v>46.145000000000003</v>
      </c>
      <c r="H1203" s="19">
        <v>43403</v>
      </c>
      <c r="I1203">
        <v>11.138</v>
      </c>
      <c r="K1203" s="19"/>
      <c r="N1203" s="19"/>
    </row>
    <row r="1204" spans="2:14" x14ac:dyDescent="0.25">
      <c r="B1204" s="19">
        <v>43404</v>
      </c>
      <c r="C1204">
        <v>51.96</v>
      </c>
      <c r="E1204" s="19">
        <v>43404</v>
      </c>
      <c r="F1204">
        <v>46.13</v>
      </c>
      <c r="H1204" s="19">
        <v>43404</v>
      </c>
      <c r="I1204">
        <v>11.327999999999999</v>
      </c>
      <c r="K1204" s="19"/>
      <c r="N1204" s="19"/>
    </row>
    <row r="1205" spans="2:14" x14ac:dyDescent="0.25">
      <c r="B1205" s="19">
        <v>43405</v>
      </c>
      <c r="C1205">
        <v>50.64</v>
      </c>
      <c r="E1205" s="19">
        <v>43405</v>
      </c>
      <c r="F1205">
        <v>46.255000000000003</v>
      </c>
      <c r="H1205" s="19">
        <v>43405</v>
      </c>
      <c r="I1205">
        <v>11.468</v>
      </c>
      <c r="K1205" s="19"/>
      <c r="N1205" s="19"/>
    </row>
    <row r="1206" spans="2:14" x14ac:dyDescent="0.25">
      <c r="B1206" s="19">
        <v>43406</v>
      </c>
      <c r="C1206">
        <v>50.25</v>
      </c>
      <c r="E1206" s="19">
        <v>43406</v>
      </c>
      <c r="F1206">
        <v>46.604999999999997</v>
      </c>
      <c r="H1206" s="19">
        <v>43406</v>
      </c>
      <c r="I1206">
        <v>11.587999999999999</v>
      </c>
      <c r="K1206" s="19"/>
      <c r="N1206" s="19"/>
    </row>
    <row r="1207" spans="2:14" x14ac:dyDescent="0.25">
      <c r="B1207" s="19">
        <v>43409</v>
      </c>
      <c r="C1207">
        <v>51.4</v>
      </c>
      <c r="E1207" s="19">
        <v>43409</v>
      </c>
      <c r="F1207">
        <v>46.47</v>
      </c>
      <c r="H1207" s="19">
        <v>43409</v>
      </c>
      <c r="I1207">
        <v>11.555999999999999</v>
      </c>
      <c r="K1207" s="19"/>
      <c r="N1207" s="19"/>
    </row>
    <row r="1208" spans="2:14" x14ac:dyDescent="0.25">
      <c r="B1208" s="19">
        <v>43410</v>
      </c>
      <c r="C1208">
        <v>50.88</v>
      </c>
      <c r="E1208" s="19">
        <v>43410</v>
      </c>
      <c r="F1208">
        <v>46.43</v>
      </c>
      <c r="H1208" s="19">
        <v>43410</v>
      </c>
      <c r="I1208">
        <v>11.507999999999999</v>
      </c>
      <c r="K1208" s="19"/>
      <c r="N1208" s="19"/>
    </row>
    <row r="1209" spans="2:14" x14ac:dyDescent="0.25">
      <c r="B1209" s="19">
        <v>43411</v>
      </c>
      <c r="C1209">
        <v>51.73</v>
      </c>
      <c r="E1209" s="19">
        <v>43411</v>
      </c>
      <c r="F1209">
        <v>46.744999999999997</v>
      </c>
      <c r="H1209" s="19">
        <v>43411</v>
      </c>
      <c r="I1209">
        <v>11.412000000000001</v>
      </c>
      <c r="K1209" s="19"/>
      <c r="N1209" s="19"/>
    </row>
    <row r="1210" spans="2:14" x14ac:dyDescent="0.25">
      <c r="B1210" s="19">
        <v>43412</v>
      </c>
      <c r="C1210">
        <v>51.43</v>
      </c>
      <c r="E1210" s="19">
        <v>43412</v>
      </c>
      <c r="F1210">
        <v>46.8</v>
      </c>
      <c r="H1210" s="19">
        <v>43412</v>
      </c>
      <c r="I1210">
        <v>11.497999999999999</v>
      </c>
      <c r="K1210" s="19"/>
      <c r="N1210" s="19"/>
    </row>
    <row r="1211" spans="2:14" x14ac:dyDescent="0.25">
      <c r="B1211" s="19">
        <v>43413</v>
      </c>
      <c r="C1211">
        <v>50.49</v>
      </c>
      <c r="E1211" s="19">
        <v>43413</v>
      </c>
      <c r="F1211">
        <v>46.365000000000002</v>
      </c>
      <c r="H1211" s="19">
        <v>43413</v>
      </c>
      <c r="I1211">
        <v>11.358000000000001</v>
      </c>
      <c r="K1211" s="19"/>
      <c r="N1211" s="19"/>
    </row>
    <row r="1212" spans="2:14" x14ac:dyDescent="0.25">
      <c r="B1212" s="19">
        <v>43416</v>
      </c>
      <c r="C1212">
        <v>50.22</v>
      </c>
      <c r="E1212" s="19">
        <v>43416</v>
      </c>
      <c r="F1212">
        <v>45.594999999999999</v>
      </c>
      <c r="H1212" s="19">
        <v>43416</v>
      </c>
      <c r="I1212">
        <v>11.151999999999999</v>
      </c>
      <c r="K1212" s="19"/>
      <c r="N1212" s="19"/>
    </row>
    <row r="1213" spans="2:14" x14ac:dyDescent="0.25">
      <c r="B1213" s="19">
        <v>43417</v>
      </c>
      <c r="C1213">
        <v>49.51</v>
      </c>
      <c r="E1213" s="19">
        <v>43417</v>
      </c>
      <c r="F1213">
        <v>46.225000000000001</v>
      </c>
      <c r="H1213" s="19">
        <v>43417</v>
      </c>
      <c r="I1213">
        <v>11.273999999999999</v>
      </c>
      <c r="K1213" s="19"/>
      <c r="N1213" s="19"/>
    </row>
    <row r="1214" spans="2:14" x14ac:dyDescent="0.25">
      <c r="B1214" s="19">
        <v>43418</v>
      </c>
      <c r="C1214">
        <v>49.66</v>
      </c>
      <c r="E1214" s="19">
        <v>43418</v>
      </c>
      <c r="F1214">
        <v>46.045000000000002</v>
      </c>
      <c r="H1214" s="19">
        <v>43418</v>
      </c>
      <c r="I1214">
        <v>11.144</v>
      </c>
      <c r="K1214" s="19"/>
      <c r="N1214" s="19"/>
    </row>
    <row r="1215" spans="2:14" x14ac:dyDescent="0.25">
      <c r="B1215" s="19">
        <v>43419</v>
      </c>
      <c r="C1215">
        <v>50.11</v>
      </c>
      <c r="E1215" s="19">
        <v>43419</v>
      </c>
      <c r="F1215">
        <v>45.494999999999997</v>
      </c>
      <c r="H1215" s="19">
        <v>43419</v>
      </c>
      <c r="I1215">
        <v>10.99</v>
      </c>
      <c r="K1215" s="19"/>
      <c r="N1215" s="19"/>
    </row>
    <row r="1216" spans="2:14" x14ac:dyDescent="0.25">
      <c r="B1216" s="19">
        <v>43420</v>
      </c>
      <c r="C1216">
        <v>49.994999999999997</v>
      </c>
      <c r="E1216" s="19">
        <v>43420</v>
      </c>
      <c r="F1216">
        <v>45.195</v>
      </c>
      <c r="H1216" s="19">
        <v>43420</v>
      </c>
      <c r="I1216">
        <v>10.907999999999999</v>
      </c>
      <c r="K1216" s="19"/>
      <c r="N1216" s="19"/>
    </row>
    <row r="1217" spans="2:14" x14ac:dyDescent="0.25">
      <c r="B1217" s="19">
        <v>43423</v>
      </c>
      <c r="C1217">
        <v>49.55</v>
      </c>
      <c r="E1217" s="19">
        <v>43423</v>
      </c>
      <c r="F1217">
        <v>45.284999999999997</v>
      </c>
      <c r="H1217" s="19">
        <v>43423</v>
      </c>
      <c r="I1217">
        <v>10.882</v>
      </c>
      <c r="K1217" s="19"/>
      <c r="N1217" s="19"/>
    </row>
    <row r="1218" spans="2:14" x14ac:dyDescent="0.25">
      <c r="B1218" s="19">
        <v>43424</v>
      </c>
      <c r="C1218">
        <v>48.865000000000002</v>
      </c>
      <c r="E1218" s="19">
        <v>43424</v>
      </c>
      <c r="F1218">
        <v>44.305</v>
      </c>
      <c r="H1218" s="19">
        <v>43424</v>
      </c>
      <c r="I1218">
        <v>10.632</v>
      </c>
      <c r="K1218" s="19"/>
      <c r="N1218" s="19"/>
    </row>
    <row r="1219" spans="2:14" x14ac:dyDescent="0.25">
      <c r="B1219" s="19">
        <v>43425</v>
      </c>
      <c r="C1219">
        <v>49.41</v>
      </c>
      <c r="E1219" s="19">
        <v>43425</v>
      </c>
      <c r="F1219">
        <v>44.79</v>
      </c>
      <c r="H1219" s="19">
        <v>43425</v>
      </c>
      <c r="I1219">
        <v>10.778</v>
      </c>
      <c r="K1219" s="19"/>
      <c r="N1219" s="19"/>
    </row>
    <row r="1220" spans="2:14" x14ac:dyDescent="0.25">
      <c r="B1220" s="19">
        <v>43426</v>
      </c>
      <c r="C1220">
        <v>49.06</v>
      </c>
      <c r="E1220" s="19">
        <v>43426</v>
      </c>
      <c r="F1220">
        <v>44.284999999999997</v>
      </c>
      <c r="H1220" s="19">
        <v>43426</v>
      </c>
      <c r="I1220">
        <v>10.67</v>
      </c>
      <c r="K1220" s="19"/>
      <c r="N1220" s="19"/>
    </row>
    <row r="1221" spans="2:14" x14ac:dyDescent="0.25">
      <c r="B1221" s="19">
        <v>43427</v>
      </c>
      <c r="C1221">
        <v>47.585000000000001</v>
      </c>
      <c r="E1221" s="19">
        <v>43427</v>
      </c>
      <c r="F1221">
        <v>44.36</v>
      </c>
      <c r="H1221" s="19">
        <v>43427</v>
      </c>
      <c r="I1221">
        <v>10.722</v>
      </c>
      <c r="K1221" s="19"/>
      <c r="N1221" s="19"/>
    </row>
    <row r="1222" spans="2:14" x14ac:dyDescent="0.25">
      <c r="B1222" s="19">
        <v>43430</v>
      </c>
      <c r="C1222">
        <v>48.3</v>
      </c>
      <c r="E1222" s="19">
        <v>43430</v>
      </c>
      <c r="F1222">
        <v>45.34</v>
      </c>
      <c r="H1222" s="19">
        <v>43430</v>
      </c>
      <c r="I1222">
        <v>11.12</v>
      </c>
      <c r="K1222" s="19"/>
      <c r="N1222" s="19"/>
    </row>
    <row r="1223" spans="2:14" x14ac:dyDescent="0.25">
      <c r="B1223" s="19">
        <v>43431</v>
      </c>
      <c r="C1223">
        <v>48.03</v>
      </c>
      <c r="E1223" s="19">
        <v>43431</v>
      </c>
      <c r="F1223">
        <v>45.085000000000001</v>
      </c>
      <c r="H1223" s="19">
        <v>43431</v>
      </c>
      <c r="I1223">
        <v>11.086</v>
      </c>
      <c r="K1223" s="19"/>
      <c r="N1223" s="19"/>
    </row>
    <row r="1224" spans="2:14" x14ac:dyDescent="0.25">
      <c r="B1224" s="19">
        <v>43432</v>
      </c>
      <c r="C1224">
        <v>48.244999999999997</v>
      </c>
      <c r="E1224" s="19">
        <v>43432</v>
      </c>
      <c r="F1224">
        <v>44.755000000000003</v>
      </c>
      <c r="H1224" s="19">
        <v>43432</v>
      </c>
      <c r="I1224">
        <v>10.997999999999999</v>
      </c>
      <c r="K1224" s="19"/>
      <c r="N1224" s="19"/>
    </row>
    <row r="1225" spans="2:14" x14ac:dyDescent="0.25">
      <c r="B1225" s="19">
        <v>43433</v>
      </c>
      <c r="C1225">
        <v>48.44</v>
      </c>
      <c r="E1225" s="19">
        <v>43433</v>
      </c>
      <c r="F1225">
        <v>44.774999999999999</v>
      </c>
      <c r="H1225" s="19">
        <v>43433</v>
      </c>
      <c r="I1225">
        <v>11.052</v>
      </c>
      <c r="K1225" s="19"/>
      <c r="N1225" s="19"/>
    </row>
    <row r="1226" spans="2:14" x14ac:dyDescent="0.25">
      <c r="B1226" s="19">
        <v>43434</v>
      </c>
      <c r="C1226">
        <v>49.164999999999999</v>
      </c>
      <c r="E1226" s="19">
        <v>43434</v>
      </c>
      <c r="F1226">
        <v>44.375</v>
      </c>
      <c r="H1226" s="19">
        <v>43434</v>
      </c>
      <c r="I1226">
        <v>10.968</v>
      </c>
      <c r="K1226" s="19"/>
      <c r="N1226" s="19"/>
    </row>
    <row r="1227" spans="2:14" x14ac:dyDescent="0.25">
      <c r="B1227" s="19">
        <v>43437</v>
      </c>
      <c r="C1227">
        <v>49.814999999999998</v>
      </c>
      <c r="E1227" s="19">
        <v>43437</v>
      </c>
      <c r="F1227">
        <v>44.844999999999999</v>
      </c>
      <c r="H1227" s="19">
        <v>43437</v>
      </c>
      <c r="I1227">
        <v>11.084</v>
      </c>
      <c r="K1227" s="19"/>
      <c r="N1227" s="19"/>
    </row>
    <row r="1228" spans="2:14" x14ac:dyDescent="0.25">
      <c r="B1228" s="19">
        <v>43438</v>
      </c>
      <c r="C1228">
        <v>49.494999999999997</v>
      </c>
      <c r="E1228" s="19">
        <v>43438</v>
      </c>
      <c r="F1228">
        <v>43.86</v>
      </c>
      <c r="H1228" s="19">
        <v>43438</v>
      </c>
      <c r="I1228">
        <v>10.837999999999999</v>
      </c>
      <c r="K1228" s="19"/>
      <c r="N1228" s="19"/>
    </row>
    <row r="1229" spans="2:14" x14ac:dyDescent="0.25">
      <c r="B1229" s="19">
        <v>43439</v>
      </c>
      <c r="C1229">
        <v>48.805</v>
      </c>
      <c r="E1229" s="19">
        <v>43439</v>
      </c>
      <c r="F1229">
        <v>43.42</v>
      </c>
      <c r="H1229" s="19">
        <v>43439</v>
      </c>
      <c r="I1229">
        <v>10.73</v>
      </c>
      <c r="K1229" s="19"/>
      <c r="N1229" s="19"/>
    </row>
    <row r="1230" spans="2:14" x14ac:dyDescent="0.25">
      <c r="B1230" s="19">
        <v>43440</v>
      </c>
      <c r="C1230">
        <v>47.384999999999998</v>
      </c>
      <c r="E1230" s="19">
        <v>43440</v>
      </c>
      <c r="F1230">
        <v>41.784999999999997</v>
      </c>
      <c r="H1230" s="19">
        <v>43440</v>
      </c>
      <c r="I1230">
        <v>10.212</v>
      </c>
      <c r="K1230" s="19"/>
      <c r="N1230" s="19"/>
    </row>
    <row r="1231" spans="2:14" x14ac:dyDescent="0.25">
      <c r="B1231" s="19">
        <v>43441</v>
      </c>
      <c r="C1231">
        <v>48.164999999999999</v>
      </c>
      <c r="E1231" s="19">
        <v>43441</v>
      </c>
      <c r="F1231">
        <v>41.594999999999999</v>
      </c>
      <c r="H1231" s="19">
        <v>43441</v>
      </c>
      <c r="I1231">
        <v>10.192</v>
      </c>
      <c r="K1231" s="19"/>
      <c r="N1231" s="19"/>
    </row>
    <row r="1232" spans="2:14" x14ac:dyDescent="0.25">
      <c r="B1232" s="19">
        <v>43444</v>
      </c>
      <c r="C1232">
        <v>47.34</v>
      </c>
      <c r="E1232" s="19">
        <v>43444</v>
      </c>
      <c r="F1232">
        <v>40.4</v>
      </c>
      <c r="H1232" s="19">
        <v>43444</v>
      </c>
      <c r="I1232">
        <v>9.89</v>
      </c>
      <c r="K1232" s="19"/>
      <c r="N1232" s="19"/>
    </row>
    <row r="1233" spans="2:14" x14ac:dyDescent="0.25">
      <c r="B1233" s="19">
        <v>43445</v>
      </c>
      <c r="C1233">
        <v>47.765000000000001</v>
      </c>
      <c r="E1233" s="19">
        <v>43445</v>
      </c>
      <c r="F1233">
        <v>40.68</v>
      </c>
      <c r="H1233" s="19">
        <v>43445</v>
      </c>
      <c r="I1233">
        <v>9.8859999999999992</v>
      </c>
      <c r="K1233" s="19"/>
      <c r="N1233" s="19"/>
    </row>
    <row r="1234" spans="2:14" x14ac:dyDescent="0.25">
      <c r="B1234" s="19">
        <v>43446</v>
      </c>
      <c r="C1234">
        <v>48.47</v>
      </c>
      <c r="E1234" s="19">
        <v>43446</v>
      </c>
      <c r="F1234">
        <v>41.905000000000001</v>
      </c>
      <c r="H1234" s="19">
        <v>43446</v>
      </c>
      <c r="I1234">
        <v>10.231999999999999</v>
      </c>
      <c r="K1234" s="19"/>
      <c r="N1234" s="19"/>
    </row>
    <row r="1235" spans="2:14" x14ac:dyDescent="0.25">
      <c r="B1235" s="19">
        <v>43447</v>
      </c>
      <c r="C1235">
        <v>48.94</v>
      </c>
      <c r="E1235" s="19">
        <v>43447</v>
      </c>
      <c r="F1235">
        <v>42.19</v>
      </c>
      <c r="H1235" s="19">
        <v>43447</v>
      </c>
      <c r="I1235">
        <v>10.242000000000001</v>
      </c>
      <c r="K1235" s="19"/>
      <c r="N1235" s="19"/>
    </row>
    <row r="1236" spans="2:14" x14ac:dyDescent="0.25">
      <c r="B1236" s="19">
        <v>43448</v>
      </c>
      <c r="C1236">
        <v>49.1</v>
      </c>
      <c r="E1236" s="19">
        <v>43448</v>
      </c>
      <c r="F1236">
        <v>41.594999999999999</v>
      </c>
      <c r="H1236" s="19">
        <v>43448</v>
      </c>
      <c r="I1236">
        <v>10.135999999999999</v>
      </c>
      <c r="K1236" s="19"/>
      <c r="N1236" s="19"/>
    </row>
    <row r="1237" spans="2:14" x14ac:dyDescent="0.25">
      <c r="B1237" s="19">
        <v>43451</v>
      </c>
      <c r="C1237">
        <v>48.615000000000002</v>
      </c>
      <c r="E1237" s="19">
        <v>43451</v>
      </c>
      <c r="F1237">
        <v>40.58</v>
      </c>
      <c r="H1237" s="19">
        <v>43451</v>
      </c>
      <c r="I1237">
        <v>9.9109999999999996</v>
      </c>
      <c r="K1237" s="19"/>
      <c r="N1237" s="19"/>
    </row>
    <row r="1238" spans="2:14" x14ac:dyDescent="0.25">
      <c r="B1238" s="19">
        <v>43452</v>
      </c>
      <c r="C1238">
        <v>46.755000000000003</v>
      </c>
      <c r="E1238" s="19">
        <v>43452</v>
      </c>
      <c r="F1238">
        <v>40.555</v>
      </c>
      <c r="H1238" s="19">
        <v>43452</v>
      </c>
      <c r="I1238">
        <v>9.85</v>
      </c>
      <c r="K1238" s="19"/>
      <c r="N1238" s="19"/>
    </row>
    <row r="1239" spans="2:14" x14ac:dyDescent="0.25">
      <c r="B1239" s="19">
        <v>43453</v>
      </c>
      <c r="C1239">
        <v>46.83</v>
      </c>
      <c r="E1239" s="19">
        <v>43453</v>
      </c>
      <c r="F1239">
        <v>40.880000000000003</v>
      </c>
      <c r="H1239" s="19">
        <v>43453</v>
      </c>
      <c r="I1239">
        <v>9.8719999999999999</v>
      </c>
      <c r="K1239" s="19"/>
      <c r="N1239" s="19"/>
    </row>
    <row r="1240" spans="2:14" x14ac:dyDescent="0.25">
      <c r="B1240" s="19">
        <v>43454</v>
      </c>
      <c r="C1240">
        <v>45.895000000000003</v>
      </c>
      <c r="E1240" s="19">
        <v>43454</v>
      </c>
      <c r="F1240">
        <v>39.4</v>
      </c>
      <c r="H1240" s="19">
        <v>43454</v>
      </c>
      <c r="I1240">
        <v>9.4770000000000003</v>
      </c>
      <c r="K1240" s="19"/>
      <c r="N1240" s="19"/>
    </row>
    <row r="1241" spans="2:14" x14ac:dyDescent="0.25">
      <c r="B1241" s="19">
        <v>43455</v>
      </c>
      <c r="C1241">
        <v>46.045000000000002</v>
      </c>
      <c r="E1241" s="19">
        <v>43455</v>
      </c>
      <c r="F1241">
        <v>39.5</v>
      </c>
      <c r="H1241" s="19">
        <v>43455</v>
      </c>
      <c r="I1241">
        <v>9.4350000000000005</v>
      </c>
      <c r="K1241" s="19"/>
      <c r="N1241" s="19"/>
    </row>
    <row r="1242" spans="2:14" x14ac:dyDescent="0.25">
      <c r="B1242" s="19">
        <v>43458</v>
      </c>
      <c r="C1242">
        <v>45.23</v>
      </c>
      <c r="E1242" s="19">
        <v>43458</v>
      </c>
      <c r="F1242">
        <v>38.79</v>
      </c>
      <c r="H1242" s="19">
        <v>43458</v>
      </c>
      <c r="I1242">
        <v>9.2880000000000003</v>
      </c>
      <c r="K1242" s="19"/>
      <c r="N1242" s="19"/>
    </row>
    <row r="1243" spans="2:14" x14ac:dyDescent="0.25">
      <c r="B1243" s="19">
        <v>43461</v>
      </c>
      <c r="C1243">
        <v>45.35</v>
      </c>
      <c r="E1243" s="19">
        <v>43461</v>
      </c>
      <c r="F1243">
        <v>38.545000000000002</v>
      </c>
      <c r="H1243" s="19">
        <v>43461</v>
      </c>
      <c r="I1243">
        <v>9.173</v>
      </c>
      <c r="K1243" s="19"/>
      <c r="N1243" s="19"/>
    </row>
    <row r="1244" spans="2:14" x14ac:dyDescent="0.25">
      <c r="B1244" s="19">
        <v>43462</v>
      </c>
      <c r="C1244">
        <v>46.085000000000001</v>
      </c>
      <c r="E1244" s="19">
        <v>43462</v>
      </c>
      <c r="F1244">
        <v>39.375</v>
      </c>
      <c r="H1244" s="19">
        <v>43462</v>
      </c>
      <c r="I1244">
        <v>9.4060000000000006</v>
      </c>
      <c r="K1244" s="19"/>
      <c r="N1244" s="19"/>
    </row>
    <row r="1245" spans="2:14" x14ac:dyDescent="0.25">
      <c r="B1245" s="19">
        <v>43465</v>
      </c>
      <c r="C1245">
        <v>46.18</v>
      </c>
      <c r="E1245" s="19">
        <v>43465</v>
      </c>
      <c r="F1245">
        <v>39.475000000000001</v>
      </c>
      <c r="H1245" s="19">
        <v>43465</v>
      </c>
      <c r="I1245">
        <v>9.43</v>
      </c>
      <c r="K1245" s="19"/>
      <c r="N1245" s="19"/>
    </row>
    <row r="1246" spans="2:14" x14ac:dyDescent="0.25">
      <c r="B1246" s="19">
        <v>43467</v>
      </c>
      <c r="C1246">
        <v>46.655000000000001</v>
      </c>
      <c r="E1246" s="19">
        <v>43467</v>
      </c>
      <c r="F1246">
        <v>39.085000000000001</v>
      </c>
      <c r="H1246" s="19">
        <v>43467</v>
      </c>
      <c r="I1246">
        <v>9.3130000000000006</v>
      </c>
      <c r="K1246" s="19"/>
      <c r="N1246" s="19"/>
    </row>
    <row r="1247" spans="2:14" x14ac:dyDescent="0.25">
      <c r="B1247" s="19">
        <v>43468</v>
      </c>
      <c r="C1247">
        <v>46.255000000000003</v>
      </c>
      <c r="E1247" s="19">
        <v>43468</v>
      </c>
      <c r="F1247">
        <v>38.854999999999997</v>
      </c>
      <c r="H1247" s="19">
        <v>43468</v>
      </c>
      <c r="I1247">
        <v>9.2829999999999995</v>
      </c>
      <c r="K1247" s="19"/>
      <c r="N1247" s="19"/>
    </row>
    <row r="1248" spans="2:14" x14ac:dyDescent="0.25">
      <c r="B1248" s="19">
        <v>43469</v>
      </c>
      <c r="C1248">
        <v>47.41</v>
      </c>
      <c r="E1248" s="19">
        <v>43469</v>
      </c>
      <c r="F1248">
        <v>40.74</v>
      </c>
      <c r="H1248" s="19">
        <v>43469</v>
      </c>
      <c r="I1248">
        <v>9.7639999999999993</v>
      </c>
      <c r="K1248" s="19"/>
      <c r="N1248" s="19"/>
    </row>
    <row r="1249" spans="2:14" x14ac:dyDescent="0.25">
      <c r="B1249" s="19">
        <v>43472</v>
      </c>
      <c r="C1249">
        <v>47.3</v>
      </c>
      <c r="E1249" s="19">
        <v>43472</v>
      </c>
      <c r="F1249">
        <v>40.68</v>
      </c>
      <c r="H1249" s="19">
        <v>43472</v>
      </c>
      <c r="I1249">
        <v>9.7479999999999993</v>
      </c>
      <c r="K1249" s="19"/>
      <c r="N1249" s="19"/>
    </row>
    <row r="1250" spans="2:14" x14ac:dyDescent="0.25">
      <c r="B1250" s="19">
        <v>43473</v>
      </c>
      <c r="C1250">
        <v>47.2</v>
      </c>
      <c r="E1250" s="19">
        <v>43473</v>
      </c>
      <c r="F1250">
        <v>40.884999999999998</v>
      </c>
      <c r="H1250" s="19">
        <v>43473</v>
      </c>
      <c r="I1250">
        <v>9.8109999999999999</v>
      </c>
      <c r="K1250" s="19"/>
      <c r="N1250" s="19"/>
    </row>
    <row r="1251" spans="2:14" x14ac:dyDescent="0.25">
      <c r="B1251" s="19">
        <v>43474</v>
      </c>
      <c r="C1251">
        <v>47.83</v>
      </c>
      <c r="E1251" s="19">
        <v>43474</v>
      </c>
      <c r="F1251">
        <v>40.774999999999999</v>
      </c>
      <c r="H1251" s="19">
        <v>43474</v>
      </c>
      <c r="I1251">
        <v>9.7989999999999995</v>
      </c>
      <c r="K1251" s="19"/>
      <c r="N1251" s="19"/>
    </row>
    <row r="1252" spans="2:14" x14ac:dyDescent="0.25">
      <c r="B1252" s="19">
        <v>43475</v>
      </c>
      <c r="C1252">
        <v>47.6</v>
      </c>
      <c r="E1252" s="19">
        <v>43475</v>
      </c>
      <c r="F1252">
        <v>41.215000000000003</v>
      </c>
      <c r="H1252" s="19">
        <v>43475</v>
      </c>
      <c r="I1252">
        <v>9.8819999999999997</v>
      </c>
      <c r="K1252" s="19"/>
      <c r="N1252" s="19"/>
    </row>
    <row r="1253" spans="2:14" x14ac:dyDescent="0.25">
      <c r="B1253" s="19">
        <v>43476</v>
      </c>
      <c r="C1253">
        <v>46.784999999999997</v>
      </c>
      <c r="E1253" s="19">
        <v>43476</v>
      </c>
      <c r="F1253">
        <v>41.37</v>
      </c>
      <c r="H1253" s="19">
        <v>43476</v>
      </c>
      <c r="I1253">
        <v>9.8859999999999992</v>
      </c>
      <c r="K1253" s="19"/>
      <c r="N1253" s="19"/>
    </row>
    <row r="1254" spans="2:14" x14ac:dyDescent="0.25">
      <c r="B1254" s="19">
        <v>43479</v>
      </c>
      <c r="C1254">
        <v>47.05</v>
      </c>
      <c r="E1254" s="19">
        <v>43479</v>
      </c>
      <c r="F1254">
        <v>41.62</v>
      </c>
      <c r="H1254" s="19">
        <v>43479</v>
      </c>
      <c r="I1254">
        <v>9.9580000000000002</v>
      </c>
      <c r="K1254" s="19"/>
      <c r="N1254" s="19"/>
    </row>
    <row r="1255" spans="2:14" x14ac:dyDescent="0.25">
      <c r="B1255" s="19">
        <v>43480</v>
      </c>
      <c r="C1255">
        <v>46.984999999999999</v>
      </c>
      <c r="E1255" s="19">
        <v>43480</v>
      </c>
      <c r="F1255">
        <v>41.695</v>
      </c>
      <c r="H1255" s="19">
        <v>43480</v>
      </c>
      <c r="I1255">
        <v>9.9559999999999995</v>
      </c>
      <c r="K1255" s="19"/>
      <c r="N1255" s="19"/>
    </row>
    <row r="1256" spans="2:14" x14ac:dyDescent="0.25">
      <c r="B1256" s="19">
        <v>43481</v>
      </c>
      <c r="C1256">
        <v>47.05</v>
      </c>
      <c r="E1256" s="19">
        <v>43481</v>
      </c>
      <c r="F1256">
        <v>43.08</v>
      </c>
      <c r="H1256" s="19">
        <v>43481</v>
      </c>
      <c r="I1256">
        <v>10.346</v>
      </c>
      <c r="K1256" s="19"/>
      <c r="N1256" s="19"/>
    </row>
    <row r="1257" spans="2:14" x14ac:dyDescent="0.25">
      <c r="B1257" s="19">
        <v>43482</v>
      </c>
      <c r="C1257">
        <v>46.914999999999999</v>
      </c>
      <c r="E1257" s="19">
        <v>43482</v>
      </c>
      <c r="F1257">
        <v>41.42</v>
      </c>
      <c r="H1257" s="19">
        <v>43482</v>
      </c>
      <c r="I1257">
        <v>10.154</v>
      </c>
      <c r="K1257" s="19"/>
      <c r="N1257" s="19"/>
    </row>
    <row r="1258" spans="2:14" x14ac:dyDescent="0.25">
      <c r="B1258" s="19">
        <v>43483</v>
      </c>
      <c r="C1258">
        <v>47.784999999999997</v>
      </c>
      <c r="E1258" s="19">
        <v>43483</v>
      </c>
      <c r="F1258">
        <v>42.47</v>
      </c>
      <c r="H1258" s="19">
        <v>43483</v>
      </c>
      <c r="I1258">
        <v>10.324</v>
      </c>
      <c r="K1258" s="19"/>
      <c r="N1258" s="19"/>
    </row>
    <row r="1259" spans="2:14" x14ac:dyDescent="0.25">
      <c r="B1259" s="19">
        <v>43486</v>
      </c>
      <c r="C1259">
        <v>47.384999999999998</v>
      </c>
      <c r="E1259" s="19">
        <v>43486</v>
      </c>
      <c r="F1259">
        <v>42.3</v>
      </c>
      <c r="H1259" s="19">
        <v>43486</v>
      </c>
      <c r="I1259">
        <v>10.228</v>
      </c>
      <c r="K1259" s="19"/>
      <c r="N1259" s="19"/>
    </row>
    <row r="1260" spans="2:14" x14ac:dyDescent="0.25">
      <c r="B1260" s="19">
        <v>43487</v>
      </c>
      <c r="C1260">
        <v>47.01</v>
      </c>
      <c r="E1260" s="19">
        <v>43487</v>
      </c>
      <c r="F1260">
        <v>41.515000000000001</v>
      </c>
      <c r="H1260" s="19">
        <v>43487</v>
      </c>
      <c r="I1260">
        <v>10.07</v>
      </c>
      <c r="K1260" s="19"/>
      <c r="N1260" s="19"/>
    </row>
    <row r="1261" spans="2:14" x14ac:dyDescent="0.25">
      <c r="B1261" s="19">
        <v>43488</v>
      </c>
      <c r="C1261">
        <v>46.604999999999997</v>
      </c>
      <c r="E1261" s="19">
        <v>43488</v>
      </c>
      <c r="F1261">
        <v>41.575000000000003</v>
      </c>
      <c r="H1261" s="19">
        <v>43488</v>
      </c>
      <c r="I1261">
        <v>10.108000000000001</v>
      </c>
      <c r="K1261" s="19"/>
      <c r="N1261" s="19"/>
    </row>
    <row r="1262" spans="2:14" x14ac:dyDescent="0.25">
      <c r="B1262" s="19">
        <v>43489</v>
      </c>
      <c r="C1262">
        <v>47.01</v>
      </c>
      <c r="E1262" s="19">
        <v>43489</v>
      </c>
      <c r="F1262">
        <v>41.38</v>
      </c>
      <c r="H1262" s="19">
        <v>43489</v>
      </c>
      <c r="I1262">
        <v>10.132</v>
      </c>
      <c r="K1262" s="19"/>
      <c r="N1262" s="19"/>
    </row>
    <row r="1263" spans="2:14" x14ac:dyDescent="0.25">
      <c r="B1263" s="19">
        <v>43490</v>
      </c>
      <c r="C1263">
        <v>47.45</v>
      </c>
      <c r="E1263" s="19">
        <v>43490</v>
      </c>
      <c r="F1263">
        <v>42.99</v>
      </c>
      <c r="H1263" s="19">
        <v>43490</v>
      </c>
      <c r="I1263">
        <v>10.378</v>
      </c>
      <c r="K1263" s="19"/>
      <c r="N1263" s="19"/>
    </row>
    <row r="1264" spans="2:14" x14ac:dyDescent="0.25">
      <c r="B1264" s="19">
        <v>43493</v>
      </c>
      <c r="C1264">
        <v>46.685000000000002</v>
      </c>
      <c r="E1264" s="19">
        <v>43493</v>
      </c>
      <c r="F1264">
        <v>42.454999999999998</v>
      </c>
      <c r="H1264" s="19">
        <v>43493</v>
      </c>
      <c r="I1264">
        <v>10.14</v>
      </c>
      <c r="K1264" s="19"/>
      <c r="N1264" s="19"/>
    </row>
    <row r="1265" spans="2:14" x14ac:dyDescent="0.25">
      <c r="B1265" s="19">
        <v>43494</v>
      </c>
      <c r="C1265">
        <v>47.24</v>
      </c>
      <c r="E1265" s="19">
        <v>43494</v>
      </c>
      <c r="F1265">
        <v>42.38</v>
      </c>
      <c r="H1265" s="19">
        <v>43494</v>
      </c>
      <c r="I1265">
        <v>10.118</v>
      </c>
      <c r="K1265" s="19"/>
      <c r="N1265" s="19"/>
    </row>
    <row r="1266" spans="2:14" x14ac:dyDescent="0.25">
      <c r="B1266" s="19">
        <v>43495</v>
      </c>
      <c r="C1266">
        <v>47.02</v>
      </c>
      <c r="E1266" s="19">
        <v>43495</v>
      </c>
      <c r="F1266">
        <v>42.32</v>
      </c>
      <c r="H1266" s="19">
        <v>43495</v>
      </c>
      <c r="I1266">
        <v>10.162000000000001</v>
      </c>
      <c r="K1266" s="19"/>
      <c r="N1266" s="19"/>
    </row>
    <row r="1267" spans="2:14" x14ac:dyDescent="0.25">
      <c r="B1267" s="19">
        <v>43496</v>
      </c>
      <c r="C1267">
        <v>47.98</v>
      </c>
      <c r="E1267" s="19">
        <v>43496</v>
      </c>
      <c r="F1267">
        <v>40.965000000000003</v>
      </c>
      <c r="H1267" s="19">
        <v>43496</v>
      </c>
      <c r="I1267">
        <v>9.9589999999999996</v>
      </c>
      <c r="K1267" s="19"/>
      <c r="N1267" s="19"/>
    </row>
    <row r="1268" spans="2:14" x14ac:dyDescent="0.25">
      <c r="B1268" s="19">
        <v>43497</v>
      </c>
      <c r="C1268">
        <v>48.21</v>
      </c>
      <c r="E1268" s="19">
        <v>43497</v>
      </c>
      <c r="F1268">
        <v>40.884999999999998</v>
      </c>
      <c r="H1268" s="19">
        <v>43497</v>
      </c>
      <c r="I1268">
        <v>9.9109999999999996</v>
      </c>
      <c r="K1268" s="19"/>
      <c r="N1268" s="19"/>
    </row>
    <row r="1269" spans="2:14" x14ac:dyDescent="0.25">
      <c r="B1269" s="19">
        <v>43500</v>
      </c>
      <c r="C1269">
        <v>48.09</v>
      </c>
      <c r="E1269" s="19">
        <v>43500</v>
      </c>
      <c r="F1269">
        <v>40.11</v>
      </c>
      <c r="H1269" s="19">
        <v>43500</v>
      </c>
      <c r="I1269">
        <v>9.7129999999999992</v>
      </c>
      <c r="K1269" s="19"/>
      <c r="N1269" s="19"/>
    </row>
    <row r="1270" spans="2:14" x14ac:dyDescent="0.25">
      <c r="B1270" s="19">
        <v>43501</v>
      </c>
      <c r="C1270">
        <v>48.9</v>
      </c>
      <c r="E1270" s="19">
        <v>43501</v>
      </c>
      <c r="F1270">
        <v>41.134999999999998</v>
      </c>
      <c r="H1270" s="19">
        <v>43501</v>
      </c>
      <c r="I1270">
        <v>9.9600000000000009</v>
      </c>
      <c r="K1270" s="19"/>
      <c r="N1270" s="19"/>
    </row>
    <row r="1271" spans="2:14" x14ac:dyDescent="0.25">
      <c r="B1271" s="19">
        <v>43502</v>
      </c>
      <c r="C1271">
        <v>48.78</v>
      </c>
      <c r="E1271" s="19">
        <v>43502</v>
      </c>
      <c r="F1271">
        <v>41.865000000000002</v>
      </c>
      <c r="H1271" s="19">
        <v>43502</v>
      </c>
      <c r="I1271">
        <v>10.17</v>
      </c>
      <c r="K1271" s="19"/>
      <c r="N1271" s="19"/>
    </row>
    <row r="1272" spans="2:14" x14ac:dyDescent="0.25">
      <c r="B1272" s="19">
        <v>43503</v>
      </c>
      <c r="C1272">
        <v>48.045000000000002</v>
      </c>
      <c r="E1272" s="19">
        <v>43503</v>
      </c>
      <c r="F1272">
        <v>40.79</v>
      </c>
      <c r="H1272" s="19">
        <v>43503</v>
      </c>
      <c r="I1272">
        <v>9.8620000000000001</v>
      </c>
      <c r="K1272" s="19"/>
      <c r="N1272" s="19"/>
    </row>
    <row r="1273" spans="2:14" x14ac:dyDescent="0.25">
      <c r="B1273" s="19">
        <v>43504</v>
      </c>
      <c r="C1273">
        <v>48.43</v>
      </c>
      <c r="E1273" s="19">
        <v>43504</v>
      </c>
      <c r="F1273">
        <v>39.85</v>
      </c>
      <c r="H1273" s="19">
        <v>43504</v>
      </c>
      <c r="I1273">
        <v>9.5510000000000002</v>
      </c>
      <c r="K1273" s="19"/>
      <c r="N1273" s="19"/>
    </row>
    <row r="1274" spans="2:14" x14ac:dyDescent="0.25">
      <c r="B1274" s="19">
        <v>43507</v>
      </c>
      <c r="C1274">
        <v>48.72</v>
      </c>
      <c r="E1274" s="19">
        <v>43507</v>
      </c>
      <c r="F1274">
        <v>40.505000000000003</v>
      </c>
      <c r="H1274" s="19">
        <v>43507</v>
      </c>
      <c r="I1274">
        <v>9.6359999999999992</v>
      </c>
      <c r="K1274" s="19"/>
      <c r="N1274" s="19"/>
    </row>
    <row r="1275" spans="2:14" x14ac:dyDescent="0.25">
      <c r="B1275" s="19">
        <v>43508</v>
      </c>
      <c r="C1275">
        <v>48.795000000000002</v>
      </c>
      <c r="E1275" s="19">
        <v>43508</v>
      </c>
      <c r="F1275">
        <v>40.994999999999997</v>
      </c>
      <c r="H1275" s="19">
        <v>43508</v>
      </c>
      <c r="I1275">
        <v>9.8019999999999996</v>
      </c>
      <c r="K1275" s="19"/>
      <c r="N1275" s="19"/>
    </row>
    <row r="1276" spans="2:14" x14ac:dyDescent="0.25">
      <c r="B1276" s="19">
        <v>43509</v>
      </c>
      <c r="C1276">
        <v>48.91</v>
      </c>
      <c r="E1276" s="19">
        <v>43509</v>
      </c>
      <c r="F1276">
        <v>41.39</v>
      </c>
      <c r="H1276" s="19">
        <v>43509</v>
      </c>
      <c r="I1276">
        <v>9.8849999999999998</v>
      </c>
      <c r="K1276" s="19"/>
      <c r="N1276" s="19"/>
    </row>
    <row r="1277" spans="2:14" x14ac:dyDescent="0.25">
      <c r="B1277" s="19">
        <v>43510</v>
      </c>
      <c r="C1277">
        <v>48.984999999999999</v>
      </c>
      <c r="E1277" s="19">
        <v>43510</v>
      </c>
      <c r="F1277">
        <v>40.414999999999999</v>
      </c>
      <c r="H1277" s="19">
        <v>43510</v>
      </c>
      <c r="I1277">
        <v>9.8000000000000007</v>
      </c>
      <c r="K1277" s="19"/>
      <c r="N1277" s="19"/>
    </row>
    <row r="1278" spans="2:14" x14ac:dyDescent="0.25">
      <c r="B1278" s="19">
        <v>43511</v>
      </c>
      <c r="C1278">
        <v>49.695</v>
      </c>
      <c r="E1278" s="19">
        <v>43511</v>
      </c>
      <c r="F1278">
        <v>42.11</v>
      </c>
      <c r="H1278" s="19">
        <v>43511</v>
      </c>
      <c r="I1278">
        <v>10.196</v>
      </c>
      <c r="K1278" s="19"/>
      <c r="N1278" s="19"/>
    </row>
    <row r="1279" spans="2:14" x14ac:dyDescent="0.25">
      <c r="B1279" s="19">
        <v>43514</v>
      </c>
      <c r="C1279">
        <v>49.51</v>
      </c>
      <c r="E1279" s="19">
        <v>43514</v>
      </c>
      <c r="F1279">
        <v>42.424999999999997</v>
      </c>
      <c r="H1279" s="19">
        <v>43514</v>
      </c>
      <c r="I1279">
        <v>10.446</v>
      </c>
      <c r="K1279" s="19"/>
      <c r="N1279" s="19"/>
    </row>
    <row r="1280" spans="2:14" x14ac:dyDescent="0.25">
      <c r="B1280" s="19">
        <v>43515</v>
      </c>
      <c r="C1280">
        <v>49.51</v>
      </c>
      <c r="E1280" s="19">
        <v>43515</v>
      </c>
      <c r="F1280">
        <v>42.24</v>
      </c>
      <c r="H1280" s="19">
        <v>43515</v>
      </c>
      <c r="I1280">
        <v>10.456</v>
      </c>
      <c r="K1280" s="19"/>
      <c r="N1280" s="19"/>
    </row>
    <row r="1281" spans="2:14" x14ac:dyDescent="0.25">
      <c r="B1281" s="19">
        <v>43516</v>
      </c>
      <c r="C1281">
        <v>49.63</v>
      </c>
      <c r="E1281" s="19">
        <v>43516</v>
      </c>
      <c r="F1281">
        <v>42.564999999999998</v>
      </c>
      <c r="H1281" s="19">
        <v>43516</v>
      </c>
      <c r="I1281">
        <v>10.59</v>
      </c>
      <c r="K1281" s="19"/>
      <c r="N1281" s="19"/>
    </row>
    <row r="1282" spans="2:14" x14ac:dyDescent="0.25">
      <c r="B1282" s="19">
        <v>43517</v>
      </c>
      <c r="C1282">
        <v>49.734999999999999</v>
      </c>
      <c r="E1282" s="19">
        <v>43517</v>
      </c>
      <c r="F1282">
        <v>41.594999999999999</v>
      </c>
      <c r="H1282" s="19">
        <v>43517</v>
      </c>
      <c r="I1282">
        <v>10.492000000000001</v>
      </c>
      <c r="K1282" s="19"/>
      <c r="N1282" s="19"/>
    </row>
    <row r="1283" spans="2:14" x14ac:dyDescent="0.25">
      <c r="B1283" s="19">
        <v>43518</v>
      </c>
      <c r="C1283">
        <v>49.954999999999998</v>
      </c>
      <c r="E1283" s="19">
        <v>43518</v>
      </c>
      <c r="F1283">
        <v>41.924999999999997</v>
      </c>
      <c r="H1283" s="19">
        <v>43518</v>
      </c>
      <c r="I1283">
        <v>10.561999999999999</v>
      </c>
      <c r="K1283" s="19"/>
      <c r="N1283" s="19"/>
    </row>
    <row r="1284" spans="2:14" x14ac:dyDescent="0.25">
      <c r="B1284" s="19">
        <v>43521</v>
      </c>
      <c r="C1284">
        <v>49.51</v>
      </c>
      <c r="E1284" s="19">
        <v>43521</v>
      </c>
      <c r="F1284">
        <v>42.86</v>
      </c>
      <c r="H1284" s="19">
        <v>43521</v>
      </c>
      <c r="I1284">
        <v>10.754</v>
      </c>
      <c r="K1284" s="19"/>
      <c r="N1284" s="19"/>
    </row>
    <row r="1285" spans="2:14" x14ac:dyDescent="0.25">
      <c r="B1285" s="19">
        <v>43522</v>
      </c>
      <c r="C1285">
        <v>49.7</v>
      </c>
      <c r="E1285" s="19">
        <v>43522</v>
      </c>
      <c r="F1285">
        <v>43.155000000000001</v>
      </c>
      <c r="H1285" s="19">
        <v>43522</v>
      </c>
      <c r="I1285">
        <v>10.81</v>
      </c>
      <c r="K1285" s="19"/>
      <c r="N1285" s="19"/>
    </row>
    <row r="1286" spans="2:14" x14ac:dyDescent="0.25">
      <c r="B1286" s="19">
        <v>43523</v>
      </c>
      <c r="C1286">
        <v>50.02</v>
      </c>
      <c r="E1286" s="19">
        <v>43523</v>
      </c>
      <c r="F1286">
        <v>44.2</v>
      </c>
      <c r="H1286" s="19">
        <v>43523</v>
      </c>
      <c r="I1286">
        <v>11.1</v>
      </c>
      <c r="K1286" s="19"/>
      <c r="N1286" s="19"/>
    </row>
    <row r="1287" spans="2:14" x14ac:dyDescent="0.25">
      <c r="B1287" s="19">
        <v>43524</v>
      </c>
      <c r="C1287">
        <v>49.99</v>
      </c>
      <c r="E1287" s="19">
        <v>43524</v>
      </c>
      <c r="F1287">
        <v>45.055</v>
      </c>
      <c r="H1287" s="19">
        <v>43524</v>
      </c>
      <c r="I1287">
        <v>11.231999999999999</v>
      </c>
      <c r="K1287" s="19"/>
      <c r="N1287" s="19"/>
    </row>
    <row r="1288" spans="2:14" x14ac:dyDescent="0.25">
      <c r="B1288" s="19">
        <v>43525</v>
      </c>
      <c r="C1288">
        <v>49.875</v>
      </c>
      <c r="E1288" s="19">
        <v>43525</v>
      </c>
      <c r="F1288">
        <v>44.895000000000003</v>
      </c>
      <c r="H1288" s="19">
        <v>43525</v>
      </c>
      <c r="I1288">
        <v>11.138</v>
      </c>
      <c r="K1288" s="19"/>
      <c r="N1288" s="19"/>
    </row>
    <row r="1289" spans="2:14" x14ac:dyDescent="0.25">
      <c r="B1289" s="19">
        <v>43528</v>
      </c>
      <c r="C1289">
        <v>50.37</v>
      </c>
      <c r="E1289" s="19">
        <v>43528</v>
      </c>
      <c r="F1289">
        <v>44.94</v>
      </c>
      <c r="H1289" s="19">
        <v>43528</v>
      </c>
      <c r="I1289">
        <v>11.11</v>
      </c>
      <c r="K1289" s="19"/>
      <c r="N1289" s="19"/>
    </row>
    <row r="1290" spans="2:14" x14ac:dyDescent="0.25">
      <c r="B1290" s="19">
        <v>43529</v>
      </c>
      <c r="C1290">
        <v>50.85</v>
      </c>
      <c r="E1290" s="19">
        <v>43529</v>
      </c>
      <c r="F1290">
        <v>44.515000000000001</v>
      </c>
      <c r="H1290" s="19">
        <v>43529</v>
      </c>
      <c r="I1290">
        <v>11.07</v>
      </c>
      <c r="K1290" s="19"/>
      <c r="N1290" s="19"/>
    </row>
    <row r="1291" spans="2:14" x14ac:dyDescent="0.25">
      <c r="B1291" s="19">
        <v>43530</v>
      </c>
      <c r="C1291">
        <v>51.02</v>
      </c>
      <c r="E1291" s="19">
        <v>43530</v>
      </c>
      <c r="F1291">
        <v>44.69</v>
      </c>
      <c r="H1291" s="19">
        <v>43530</v>
      </c>
      <c r="I1291">
        <v>11.006</v>
      </c>
      <c r="K1291" s="19"/>
      <c r="N1291" s="19"/>
    </row>
    <row r="1292" spans="2:14" x14ac:dyDescent="0.25">
      <c r="B1292" s="19">
        <v>43531</v>
      </c>
      <c r="C1292">
        <v>51.02</v>
      </c>
      <c r="E1292" s="19">
        <v>43531</v>
      </c>
      <c r="F1292">
        <v>43.18</v>
      </c>
      <c r="H1292" s="19">
        <v>43531</v>
      </c>
      <c r="I1292">
        <v>10.657999999999999</v>
      </c>
      <c r="K1292" s="19"/>
      <c r="N1292" s="19"/>
    </row>
    <row r="1293" spans="2:14" x14ac:dyDescent="0.25">
      <c r="B1293" s="19">
        <v>43532</v>
      </c>
      <c r="C1293">
        <v>50.33</v>
      </c>
      <c r="E1293" s="19">
        <v>43532</v>
      </c>
      <c r="F1293">
        <v>42.344999999999999</v>
      </c>
      <c r="H1293" s="19">
        <v>43532</v>
      </c>
      <c r="I1293">
        <v>10.6</v>
      </c>
      <c r="K1293" s="19"/>
      <c r="N1293" s="19"/>
    </row>
    <row r="1294" spans="2:14" x14ac:dyDescent="0.25">
      <c r="B1294" s="19">
        <v>43535</v>
      </c>
      <c r="C1294">
        <v>50.76</v>
      </c>
      <c r="E1294" s="19">
        <v>43535</v>
      </c>
      <c r="F1294">
        <v>43.33</v>
      </c>
      <c r="H1294" s="19">
        <v>43535</v>
      </c>
      <c r="I1294">
        <v>10.885999999999999</v>
      </c>
      <c r="K1294" s="19"/>
      <c r="N1294" s="19"/>
    </row>
    <row r="1295" spans="2:14" x14ac:dyDescent="0.25">
      <c r="B1295" s="19">
        <v>43536</v>
      </c>
      <c r="C1295">
        <v>50.66</v>
      </c>
      <c r="E1295" s="19">
        <v>43536</v>
      </c>
      <c r="F1295">
        <v>43.045000000000002</v>
      </c>
      <c r="H1295" s="19">
        <v>43536</v>
      </c>
      <c r="I1295">
        <v>10.878</v>
      </c>
      <c r="K1295" s="19"/>
      <c r="N1295" s="19"/>
    </row>
    <row r="1296" spans="2:14" x14ac:dyDescent="0.25">
      <c r="B1296" s="19">
        <v>43537</v>
      </c>
      <c r="C1296">
        <v>51.21</v>
      </c>
      <c r="E1296" s="19">
        <v>43537</v>
      </c>
      <c r="F1296">
        <v>43.555</v>
      </c>
      <c r="H1296" s="19">
        <v>43537</v>
      </c>
      <c r="I1296">
        <v>11.002000000000001</v>
      </c>
      <c r="K1296" s="19"/>
      <c r="N1296" s="19"/>
    </row>
    <row r="1297" spans="2:14" x14ac:dyDescent="0.25">
      <c r="B1297" s="19">
        <v>43538</v>
      </c>
      <c r="C1297">
        <v>51.45</v>
      </c>
      <c r="E1297" s="19">
        <v>43538</v>
      </c>
      <c r="F1297">
        <v>43.84</v>
      </c>
      <c r="H1297" s="19">
        <v>43538</v>
      </c>
      <c r="I1297">
        <v>10.952</v>
      </c>
      <c r="K1297" s="19"/>
      <c r="N1297" s="19"/>
    </row>
    <row r="1298" spans="2:14" x14ac:dyDescent="0.25">
      <c r="B1298" s="19">
        <v>43539</v>
      </c>
      <c r="C1298">
        <v>51.7</v>
      </c>
      <c r="E1298" s="19">
        <v>43539</v>
      </c>
      <c r="F1298">
        <v>44.284999999999997</v>
      </c>
      <c r="H1298" s="19">
        <v>43539</v>
      </c>
      <c r="I1298">
        <v>11.042</v>
      </c>
      <c r="K1298" s="19"/>
      <c r="N1298" s="19"/>
    </row>
    <row r="1299" spans="2:14" x14ac:dyDescent="0.25">
      <c r="B1299" s="19">
        <v>43542</v>
      </c>
      <c r="C1299">
        <v>52.27</v>
      </c>
      <c r="E1299" s="19">
        <v>43542</v>
      </c>
      <c r="F1299">
        <v>45.1</v>
      </c>
      <c r="H1299" s="19">
        <v>43542</v>
      </c>
      <c r="I1299">
        <v>11.326000000000001</v>
      </c>
      <c r="K1299" s="19"/>
      <c r="N1299" s="19"/>
    </row>
    <row r="1300" spans="2:14" x14ac:dyDescent="0.25">
      <c r="B1300" s="19">
        <v>43543</v>
      </c>
      <c r="C1300">
        <v>51.54</v>
      </c>
      <c r="E1300" s="19">
        <v>43543</v>
      </c>
      <c r="F1300">
        <v>45.11</v>
      </c>
      <c r="H1300" s="19">
        <v>43543</v>
      </c>
      <c r="I1300">
        <v>11.31</v>
      </c>
      <c r="K1300" s="19"/>
      <c r="N1300" s="19"/>
    </row>
    <row r="1301" spans="2:14" x14ac:dyDescent="0.25">
      <c r="B1301" s="19">
        <v>43544</v>
      </c>
      <c r="C1301">
        <v>50.36</v>
      </c>
      <c r="E1301" s="19">
        <v>43544</v>
      </c>
      <c r="F1301">
        <v>44.19</v>
      </c>
      <c r="H1301" s="19">
        <v>43544</v>
      </c>
      <c r="I1301">
        <v>11.112</v>
      </c>
      <c r="K1301" s="19"/>
      <c r="N1301" s="19"/>
    </row>
    <row r="1302" spans="2:14" x14ac:dyDescent="0.25">
      <c r="B1302" s="19">
        <v>43545</v>
      </c>
      <c r="C1302">
        <v>50.48</v>
      </c>
      <c r="E1302" s="19">
        <v>43545</v>
      </c>
      <c r="F1302">
        <v>43.04</v>
      </c>
      <c r="H1302" s="19">
        <v>43545</v>
      </c>
      <c r="I1302">
        <v>10.922000000000001</v>
      </c>
      <c r="K1302" s="19"/>
      <c r="N1302" s="19"/>
    </row>
    <row r="1303" spans="2:14" x14ac:dyDescent="0.25">
      <c r="B1303" s="19">
        <v>43546</v>
      </c>
      <c r="C1303">
        <v>49.43</v>
      </c>
      <c r="E1303" s="19">
        <v>43546</v>
      </c>
      <c r="F1303">
        <v>41.625</v>
      </c>
      <c r="H1303" s="19">
        <v>43546</v>
      </c>
      <c r="I1303">
        <v>10.51</v>
      </c>
      <c r="K1303" s="19"/>
      <c r="N1303" s="19"/>
    </row>
    <row r="1304" spans="2:14" x14ac:dyDescent="0.25">
      <c r="B1304" s="19">
        <v>43549</v>
      </c>
      <c r="C1304">
        <v>49.25</v>
      </c>
      <c r="E1304" s="19">
        <v>43549</v>
      </c>
      <c r="F1304">
        <v>41.524999999999999</v>
      </c>
      <c r="H1304" s="19">
        <v>43549</v>
      </c>
      <c r="I1304">
        <v>10.47</v>
      </c>
      <c r="K1304" s="19"/>
      <c r="N1304" s="19"/>
    </row>
    <row r="1305" spans="2:14" x14ac:dyDescent="0.25">
      <c r="B1305" s="19">
        <v>43550</v>
      </c>
      <c r="C1305">
        <v>49.585000000000001</v>
      </c>
      <c r="E1305" s="19">
        <v>43550</v>
      </c>
      <c r="F1305">
        <v>41.424999999999997</v>
      </c>
      <c r="H1305" s="19">
        <v>43550</v>
      </c>
      <c r="I1305">
        <v>10.492000000000001</v>
      </c>
      <c r="K1305" s="19"/>
      <c r="N1305" s="19"/>
    </row>
    <row r="1306" spans="2:14" x14ac:dyDescent="0.25">
      <c r="B1306" s="19">
        <v>43551</v>
      </c>
      <c r="C1306">
        <v>49.36</v>
      </c>
      <c r="E1306" s="19">
        <v>43551</v>
      </c>
      <c r="F1306">
        <v>42.325000000000003</v>
      </c>
      <c r="H1306" s="19">
        <v>43551</v>
      </c>
      <c r="I1306">
        <v>10.866</v>
      </c>
      <c r="K1306" s="19"/>
      <c r="N1306" s="19"/>
    </row>
    <row r="1307" spans="2:14" x14ac:dyDescent="0.25">
      <c r="B1307" s="19">
        <v>43552</v>
      </c>
      <c r="C1307">
        <v>49.295000000000002</v>
      </c>
      <c r="E1307" s="19">
        <v>43552</v>
      </c>
      <c r="F1307">
        <v>41.984999999999999</v>
      </c>
      <c r="H1307" s="19">
        <v>43552</v>
      </c>
      <c r="I1307">
        <v>10.66</v>
      </c>
      <c r="K1307" s="19"/>
      <c r="N1307" s="19"/>
    </row>
    <row r="1308" spans="2:14" x14ac:dyDescent="0.25">
      <c r="B1308" s="19">
        <v>43553</v>
      </c>
      <c r="C1308">
        <v>49.52</v>
      </c>
      <c r="E1308" s="19">
        <v>43553</v>
      </c>
      <c r="F1308">
        <v>42.61</v>
      </c>
      <c r="H1308" s="19">
        <v>43553</v>
      </c>
      <c r="I1308">
        <v>10.77</v>
      </c>
      <c r="K1308" s="19"/>
      <c r="N1308" s="19"/>
    </row>
    <row r="1309" spans="2:14" x14ac:dyDescent="0.25">
      <c r="B1309" s="19">
        <v>43556</v>
      </c>
      <c r="C1309">
        <v>50</v>
      </c>
      <c r="E1309" s="19">
        <v>43556</v>
      </c>
      <c r="F1309">
        <v>43.48</v>
      </c>
      <c r="H1309" s="19">
        <v>43556</v>
      </c>
      <c r="I1309">
        <v>11.085000000000001</v>
      </c>
      <c r="K1309" s="19"/>
      <c r="N1309" s="19"/>
    </row>
    <row r="1310" spans="2:14" x14ac:dyDescent="0.25">
      <c r="B1310" s="19">
        <v>43557</v>
      </c>
      <c r="C1310">
        <v>49.98</v>
      </c>
      <c r="E1310" s="19">
        <v>43557</v>
      </c>
      <c r="F1310">
        <v>43.905000000000001</v>
      </c>
      <c r="H1310" s="19">
        <v>43557</v>
      </c>
      <c r="I1310">
        <v>11.164999999999999</v>
      </c>
      <c r="K1310" s="19"/>
      <c r="N1310" s="19"/>
    </row>
    <row r="1311" spans="2:14" x14ac:dyDescent="0.25">
      <c r="B1311" s="19">
        <v>43558</v>
      </c>
      <c r="C1311">
        <v>50</v>
      </c>
      <c r="E1311" s="19">
        <v>43558</v>
      </c>
      <c r="F1311">
        <v>44.515000000000001</v>
      </c>
      <c r="H1311" s="19">
        <v>43558</v>
      </c>
      <c r="I1311">
        <v>11.375</v>
      </c>
      <c r="K1311" s="19"/>
      <c r="N1311" s="19"/>
    </row>
    <row r="1312" spans="2:14" x14ac:dyDescent="0.25">
      <c r="B1312" s="19">
        <v>43559</v>
      </c>
      <c r="C1312">
        <v>49.87</v>
      </c>
      <c r="E1312" s="19">
        <v>43559</v>
      </c>
      <c r="F1312">
        <v>44.875</v>
      </c>
      <c r="H1312" s="19">
        <v>43559</v>
      </c>
      <c r="I1312">
        <v>11.47</v>
      </c>
      <c r="K1312" s="19"/>
      <c r="N1312" s="19"/>
    </row>
    <row r="1313" spans="2:14" x14ac:dyDescent="0.25">
      <c r="B1313" s="19">
        <v>43560</v>
      </c>
      <c r="C1313">
        <v>50.29</v>
      </c>
      <c r="E1313" s="19">
        <v>43560</v>
      </c>
      <c r="F1313">
        <v>44.505000000000003</v>
      </c>
      <c r="H1313" s="19">
        <v>43560</v>
      </c>
      <c r="I1313">
        <v>11.34</v>
      </c>
      <c r="K1313" s="19"/>
      <c r="N1313" s="19"/>
    </row>
    <row r="1314" spans="2:14" x14ac:dyDescent="0.25">
      <c r="B1314" s="19">
        <v>43563</v>
      </c>
      <c r="C1314">
        <v>50.6</v>
      </c>
      <c r="E1314" s="19">
        <v>43563</v>
      </c>
      <c r="F1314">
        <v>44.45</v>
      </c>
      <c r="H1314" s="19">
        <v>43563</v>
      </c>
      <c r="I1314">
        <v>11.315</v>
      </c>
      <c r="K1314" s="19"/>
      <c r="N1314" s="19"/>
    </row>
    <row r="1315" spans="2:14" x14ac:dyDescent="0.25">
      <c r="B1315" s="19">
        <v>43564</v>
      </c>
      <c r="C1315">
        <v>50.23</v>
      </c>
      <c r="E1315" s="19">
        <v>43564</v>
      </c>
      <c r="F1315">
        <v>44.58</v>
      </c>
      <c r="H1315" s="19">
        <v>43564</v>
      </c>
      <c r="I1315">
        <v>11.355</v>
      </c>
      <c r="K1315" s="19"/>
      <c r="N1315" s="19"/>
    </row>
    <row r="1316" spans="2:14" x14ac:dyDescent="0.25">
      <c r="B1316" s="19">
        <v>43565</v>
      </c>
      <c r="C1316">
        <v>50.37</v>
      </c>
      <c r="E1316" s="19">
        <v>43565</v>
      </c>
      <c r="F1316">
        <v>44.2</v>
      </c>
      <c r="H1316" s="19">
        <v>43565</v>
      </c>
      <c r="I1316">
        <v>11.38</v>
      </c>
      <c r="K1316" s="19"/>
      <c r="N1316" s="19"/>
    </row>
    <row r="1317" spans="2:14" x14ac:dyDescent="0.25">
      <c r="B1317" s="19">
        <v>43566</v>
      </c>
      <c r="C1317">
        <v>50.08</v>
      </c>
      <c r="E1317" s="19">
        <v>43566</v>
      </c>
      <c r="F1317">
        <v>44.805</v>
      </c>
      <c r="H1317" s="19">
        <v>43566</v>
      </c>
      <c r="I1317">
        <v>11.58</v>
      </c>
      <c r="K1317" s="19"/>
      <c r="N1317" s="19"/>
    </row>
    <row r="1318" spans="2:14" x14ac:dyDescent="0.25">
      <c r="B1318" s="19">
        <v>43567</v>
      </c>
      <c r="C1318">
        <v>49.99</v>
      </c>
      <c r="E1318" s="19">
        <v>43567</v>
      </c>
      <c r="F1318">
        <v>46.314999999999998</v>
      </c>
      <c r="H1318" s="19">
        <v>43567</v>
      </c>
      <c r="I1318">
        <v>11.94</v>
      </c>
      <c r="K1318" s="19"/>
      <c r="N1318" s="19"/>
    </row>
    <row r="1319" spans="2:14" x14ac:dyDescent="0.25">
      <c r="B1319" s="19">
        <v>43570</v>
      </c>
      <c r="C1319">
        <v>50.07</v>
      </c>
      <c r="E1319" s="19">
        <v>43570</v>
      </c>
      <c r="F1319">
        <v>46.85</v>
      </c>
      <c r="H1319" s="19">
        <v>43570</v>
      </c>
      <c r="I1319">
        <v>12.2</v>
      </c>
      <c r="K1319" s="19"/>
      <c r="N1319" s="19"/>
    </row>
    <row r="1320" spans="2:14" x14ac:dyDescent="0.25">
      <c r="B1320" s="19">
        <v>43571</v>
      </c>
      <c r="C1320">
        <v>49.555</v>
      </c>
      <c r="E1320" s="19">
        <v>43571</v>
      </c>
      <c r="F1320">
        <v>47.66</v>
      </c>
      <c r="H1320" s="19">
        <v>43571</v>
      </c>
      <c r="I1320">
        <v>12.37</v>
      </c>
      <c r="K1320" s="19"/>
      <c r="N1320" s="19"/>
    </row>
    <row r="1321" spans="2:14" x14ac:dyDescent="0.25">
      <c r="B1321" s="19">
        <v>43572</v>
      </c>
      <c r="C1321">
        <v>50.09</v>
      </c>
      <c r="E1321" s="19">
        <v>43572</v>
      </c>
      <c r="F1321">
        <v>48.44</v>
      </c>
      <c r="H1321" s="19">
        <v>43572</v>
      </c>
      <c r="I1321">
        <v>12.315</v>
      </c>
      <c r="K1321" s="19"/>
      <c r="N1321" s="19"/>
    </row>
    <row r="1322" spans="2:14" x14ac:dyDescent="0.25">
      <c r="B1322" s="19">
        <v>43573</v>
      </c>
      <c r="C1322">
        <v>50.3</v>
      </c>
      <c r="E1322" s="19">
        <v>43573</v>
      </c>
      <c r="F1322">
        <v>48.984999999999999</v>
      </c>
      <c r="H1322" s="19">
        <v>43573</v>
      </c>
      <c r="I1322">
        <v>12.47</v>
      </c>
      <c r="K1322" s="19"/>
      <c r="N1322" s="19"/>
    </row>
    <row r="1323" spans="2:14" x14ac:dyDescent="0.25">
      <c r="B1323" s="19">
        <v>43578</v>
      </c>
      <c r="C1323">
        <v>51.22</v>
      </c>
      <c r="E1323" s="19">
        <v>43578</v>
      </c>
      <c r="F1323">
        <v>48.11</v>
      </c>
      <c r="H1323" s="19">
        <v>43578</v>
      </c>
      <c r="I1323">
        <v>12.164999999999999</v>
      </c>
      <c r="K1323" s="19"/>
      <c r="N1323" s="19"/>
    </row>
    <row r="1324" spans="2:14" x14ac:dyDescent="0.25">
      <c r="B1324" s="19">
        <v>43579</v>
      </c>
      <c r="C1324">
        <v>50.04</v>
      </c>
      <c r="E1324" s="19">
        <v>43579</v>
      </c>
      <c r="F1324">
        <v>47.15</v>
      </c>
      <c r="H1324" s="19">
        <v>43579</v>
      </c>
      <c r="I1324">
        <v>12.045</v>
      </c>
      <c r="K1324" s="19"/>
      <c r="N1324" s="19"/>
    </row>
    <row r="1325" spans="2:14" x14ac:dyDescent="0.25">
      <c r="B1325" s="19">
        <v>43580</v>
      </c>
      <c r="C1325">
        <v>49.905000000000001</v>
      </c>
      <c r="E1325" s="19">
        <v>43580</v>
      </c>
      <c r="F1325">
        <v>46.765000000000001</v>
      </c>
      <c r="H1325" s="19">
        <v>43580</v>
      </c>
      <c r="I1325">
        <v>12.015000000000001</v>
      </c>
      <c r="K1325" s="19"/>
      <c r="N1325" s="19"/>
    </row>
    <row r="1326" spans="2:14" x14ac:dyDescent="0.25">
      <c r="B1326" s="19">
        <v>43581</v>
      </c>
      <c r="C1326">
        <v>49.344999999999999</v>
      </c>
      <c r="E1326" s="19">
        <v>43581</v>
      </c>
      <c r="F1326">
        <v>46.9</v>
      </c>
      <c r="H1326" s="19">
        <v>43581</v>
      </c>
      <c r="I1326">
        <v>12.125</v>
      </c>
      <c r="K1326" s="19"/>
      <c r="N1326" s="19"/>
    </row>
    <row r="1327" spans="2:14" x14ac:dyDescent="0.25">
      <c r="B1327" s="19">
        <v>43584</v>
      </c>
      <c r="C1327">
        <v>48.594999999999999</v>
      </c>
      <c r="E1327" s="19">
        <v>43584</v>
      </c>
      <c r="F1327">
        <v>47.664999999999999</v>
      </c>
      <c r="H1327" s="19">
        <v>43584</v>
      </c>
      <c r="I1327">
        <v>12.39</v>
      </c>
      <c r="K1327" s="19"/>
      <c r="N1327" s="19"/>
    </row>
    <row r="1328" spans="2:14" x14ac:dyDescent="0.25">
      <c r="B1328" s="19">
        <v>43585</v>
      </c>
      <c r="C1328">
        <v>49.545000000000002</v>
      </c>
      <c r="E1328" s="19">
        <v>43585</v>
      </c>
      <c r="F1328">
        <v>47.45</v>
      </c>
      <c r="H1328" s="19">
        <v>43585</v>
      </c>
      <c r="I1328">
        <v>12.23</v>
      </c>
      <c r="K1328" s="19"/>
      <c r="N1328" s="19"/>
    </row>
    <row r="1329" spans="2:14" x14ac:dyDescent="0.25">
      <c r="B1329" s="19">
        <v>43587</v>
      </c>
      <c r="C1329">
        <v>49.38</v>
      </c>
      <c r="E1329" s="19">
        <v>43587</v>
      </c>
      <c r="F1329">
        <v>48</v>
      </c>
      <c r="H1329" s="19">
        <v>43587</v>
      </c>
      <c r="I1329">
        <v>12.34</v>
      </c>
      <c r="K1329" s="19"/>
      <c r="N1329" s="19"/>
    </row>
    <row r="1330" spans="2:14" x14ac:dyDescent="0.25">
      <c r="B1330" s="19">
        <v>43588</v>
      </c>
      <c r="C1330">
        <v>49.17</v>
      </c>
      <c r="E1330" s="19">
        <v>43588</v>
      </c>
      <c r="F1330">
        <v>48.255000000000003</v>
      </c>
      <c r="H1330" s="19">
        <v>43588</v>
      </c>
      <c r="I1330">
        <v>12.38</v>
      </c>
      <c r="K1330" s="19"/>
      <c r="N1330" s="19"/>
    </row>
    <row r="1331" spans="2:14" x14ac:dyDescent="0.25">
      <c r="B1331" s="19">
        <v>43591</v>
      </c>
      <c r="C1331">
        <v>47.99</v>
      </c>
      <c r="E1331" s="19">
        <v>43591</v>
      </c>
      <c r="F1331">
        <v>47.884999999999998</v>
      </c>
      <c r="H1331" s="19">
        <v>43591</v>
      </c>
      <c r="I1331">
        <v>12.255000000000001</v>
      </c>
      <c r="K1331" s="19"/>
      <c r="N1331" s="19"/>
    </row>
    <row r="1332" spans="2:14" x14ac:dyDescent="0.25">
      <c r="B1332" s="19">
        <v>43592</v>
      </c>
      <c r="C1332">
        <v>46.704999999999998</v>
      </c>
      <c r="E1332" s="19">
        <v>43592</v>
      </c>
      <c r="F1332">
        <v>46.875</v>
      </c>
      <c r="H1332" s="19">
        <v>43592</v>
      </c>
      <c r="I1332">
        <v>12.085000000000001</v>
      </c>
      <c r="K1332" s="19"/>
      <c r="N1332" s="19"/>
    </row>
    <row r="1333" spans="2:14" x14ac:dyDescent="0.25">
      <c r="B1333" s="19">
        <v>43593</v>
      </c>
      <c r="C1333">
        <v>46.98</v>
      </c>
      <c r="E1333" s="19">
        <v>43593</v>
      </c>
      <c r="F1333">
        <v>46.82</v>
      </c>
      <c r="H1333" s="19">
        <v>43593</v>
      </c>
      <c r="I1333">
        <v>12.115</v>
      </c>
      <c r="K1333" s="19"/>
      <c r="N1333" s="19"/>
    </row>
    <row r="1334" spans="2:14" x14ac:dyDescent="0.25">
      <c r="B1334" s="19">
        <v>43594</v>
      </c>
      <c r="C1334">
        <v>46.604999999999997</v>
      </c>
      <c r="E1334" s="19">
        <v>43594</v>
      </c>
      <c r="F1334">
        <v>45.42</v>
      </c>
      <c r="H1334" s="19">
        <v>43594</v>
      </c>
      <c r="I1334">
        <v>11.565</v>
      </c>
      <c r="K1334" s="19"/>
      <c r="N1334" s="19"/>
    </row>
    <row r="1335" spans="2:14" x14ac:dyDescent="0.25">
      <c r="B1335" s="19">
        <v>43595</v>
      </c>
      <c r="C1335">
        <v>46.87</v>
      </c>
      <c r="E1335" s="19">
        <v>43595</v>
      </c>
      <c r="F1335">
        <v>45.49</v>
      </c>
      <c r="H1335" s="19">
        <v>43595</v>
      </c>
      <c r="I1335">
        <v>11.555</v>
      </c>
      <c r="K1335" s="19"/>
      <c r="N1335" s="19"/>
    </row>
    <row r="1336" spans="2:14" x14ac:dyDescent="0.25">
      <c r="B1336" s="19">
        <v>43598</v>
      </c>
      <c r="C1336">
        <v>46.865000000000002</v>
      </c>
      <c r="E1336" s="19">
        <v>43598</v>
      </c>
      <c r="F1336">
        <v>44.78</v>
      </c>
      <c r="H1336" s="19">
        <v>43598</v>
      </c>
      <c r="I1336">
        <v>11.26</v>
      </c>
      <c r="K1336" s="19"/>
      <c r="N1336" s="19"/>
    </row>
    <row r="1337" spans="2:14" x14ac:dyDescent="0.25">
      <c r="B1337" s="19">
        <v>43599</v>
      </c>
      <c r="C1337">
        <v>47.4</v>
      </c>
      <c r="E1337" s="19">
        <v>43599</v>
      </c>
      <c r="F1337">
        <v>45.48</v>
      </c>
      <c r="H1337" s="19">
        <v>43599</v>
      </c>
      <c r="I1337">
        <v>11.365</v>
      </c>
      <c r="K1337" s="19"/>
      <c r="N1337" s="19"/>
    </row>
    <row r="1338" spans="2:14" x14ac:dyDescent="0.25">
      <c r="B1338" s="19">
        <v>43600</v>
      </c>
      <c r="C1338">
        <v>47.73</v>
      </c>
      <c r="E1338" s="19">
        <v>43600</v>
      </c>
      <c r="F1338">
        <v>45.255000000000003</v>
      </c>
      <c r="H1338" s="19">
        <v>43600</v>
      </c>
      <c r="I1338">
        <v>11.07</v>
      </c>
      <c r="K1338" s="19"/>
      <c r="N1338" s="19"/>
    </row>
    <row r="1339" spans="2:14" x14ac:dyDescent="0.25">
      <c r="B1339" s="19">
        <v>43601</v>
      </c>
      <c r="C1339">
        <v>48.604999999999997</v>
      </c>
      <c r="E1339" s="19">
        <v>43601</v>
      </c>
      <c r="F1339">
        <v>45.95</v>
      </c>
      <c r="H1339" s="19">
        <v>43601</v>
      </c>
      <c r="I1339">
        <v>11.32</v>
      </c>
      <c r="K1339" s="19"/>
      <c r="N1339" s="19"/>
    </row>
    <row r="1340" spans="2:14" x14ac:dyDescent="0.25">
      <c r="B1340" s="19">
        <v>43602</v>
      </c>
      <c r="C1340">
        <v>49.17</v>
      </c>
      <c r="E1340" s="19">
        <v>43602</v>
      </c>
      <c r="F1340">
        <v>45.375</v>
      </c>
      <c r="H1340" s="19">
        <v>43602</v>
      </c>
      <c r="I1340">
        <v>11.2</v>
      </c>
      <c r="K1340" s="19"/>
      <c r="N1340" s="19"/>
    </row>
    <row r="1341" spans="2:14" x14ac:dyDescent="0.25">
      <c r="B1341" s="19">
        <v>43605</v>
      </c>
      <c r="C1341">
        <v>49.225000000000001</v>
      </c>
      <c r="E1341" s="19">
        <v>43605</v>
      </c>
      <c r="F1341">
        <v>44.625</v>
      </c>
      <c r="H1341" s="19">
        <v>43605</v>
      </c>
      <c r="I1341">
        <v>11.07</v>
      </c>
      <c r="K1341" s="19"/>
      <c r="N1341" s="19"/>
    </row>
    <row r="1342" spans="2:14" x14ac:dyDescent="0.25">
      <c r="B1342" s="19">
        <v>43606</v>
      </c>
      <c r="C1342">
        <v>49.765000000000001</v>
      </c>
      <c r="E1342" s="19">
        <v>43606</v>
      </c>
      <c r="F1342">
        <v>44.994999999999997</v>
      </c>
      <c r="H1342" s="19">
        <v>43606</v>
      </c>
      <c r="I1342">
        <v>11.205</v>
      </c>
      <c r="K1342" s="19"/>
      <c r="N1342" s="19"/>
    </row>
    <row r="1343" spans="2:14" x14ac:dyDescent="0.25">
      <c r="B1343" s="19">
        <v>43607</v>
      </c>
      <c r="C1343">
        <v>49.005000000000003</v>
      </c>
      <c r="E1343" s="19">
        <v>43607</v>
      </c>
      <c r="F1343">
        <v>44.51</v>
      </c>
      <c r="H1343" s="19">
        <v>43607</v>
      </c>
      <c r="I1343">
        <v>10.98</v>
      </c>
      <c r="K1343" s="19"/>
      <c r="N1343" s="19"/>
    </row>
    <row r="1344" spans="2:14" x14ac:dyDescent="0.25">
      <c r="B1344" s="19">
        <v>43608</v>
      </c>
      <c r="C1344">
        <v>47.39</v>
      </c>
      <c r="E1344" s="19">
        <v>43608</v>
      </c>
      <c r="F1344">
        <v>43.65</v>
      </c>
      <c r="H1344" s="19">
        <v>43608</v>
      </c>
      <c r="I1344">
        <v>10.675000000000001</v>
      </c>
      <c r="K1344" s="19"/>
      <c r="N1344" s="19"/>
    </row>
    <row r="1345" spans="2:14" x14ac:dyDescent="0.25">
      <c r="B1345" s="19">
        <v>43609</v>
      </c>
      <c r="C1345">
        <v>47.555</v>
      </c>
      <c r="E1345" s="19">
        <v>43609</v>
      </c>
      <c r="F1345">
        <v>43.905000000000001</v>
      </c>
      <c r="H1345" s="19">
        <v>43609</v>
      </c>
      <c r="I1345">
        <v>10.185</v>
      </c>
      <c r="K1345" s="19"/>
      <c r="N1345" s="19"/>
    </row>
    <row r="1346" spans="2:14" x14ac:dyDescent="0.25">
      <c r="B1346" s="19">
        <v>43612</v>
      </c>
      <c r="C1346">
        <v>47.85</v>
      </c>
      <c r="E1346" s="19">
        <v>43612</v>
      </c>
      <c r="F1346">
        <v>44.2</v>
      </c>
      <c r="H1346" s="19">
        <v>43612</v>
      </c>
      <c r="I1346">
        <v>10.35</v>
      </c>
      <c r="K1346" s="19"/>
      <c r="N1346" s="19"/>
    </row>
    <row r="1347" spans="2:14" x14ac:dyDescent="0.25">
      <c r="B1347" s="19">
        <v>43613</v>
      </c>
      <c r="C1347">
        <v>47.52</v>
      </c>
      <c r="E1347" s="19">
        <v>43613</v>
      </c>
      <c r="F1347">
        <v>44.284999999999997</v>
      </c>
      <c r="H1347" s="19">
        <v>43613</v>
      </c>
      <c r="I1347">
        <v>10.31</v>
      </c>
      <c r="K1347" s="19"/>
      <c r="N1347" s="19"/>
    </row>
    <row r="1348" spans="2:14" x14ac:dyDescent="0.25">
      <c r="B1348" s="19">
        <v>43614</v>
      </c>
      <c r="C1348">
        <v>46.835000000000001</v>
      </c>
      <c r="E1348" s="19">
        <v>43614</v>
      </c>
      <c r="F1348">
        <v>41.325000000000003</v>
      </c>
      <c r="H1348" s="19">
        <v>43614</v>
      </c>
      <c r="I1348">
        <v>10.220000000000001</v>
      </c>
      <c r="K1348" s="19"/>
      <c r="N1348" s="19"/>
    </row>
    <row r="1349" spans="2:14" x14ac:dyDescent="0.25">
      <c r="B1349" s="19">
        <v>43615</v>
      </c>
      <c r="C1349">
        <v>46.84</v>
      </c>
      <c r="E1349" s="19">
        <v>43615</v>
      </c>
      <c r="F1349">
        <v>41.35</v>
      </c>
      <c r="H1349" s="19">
        <v>43615</v>
      </c>
      <c r="I1349">
        <v>10.32</v>
      </c>
      <c r="K1349" s="19"/>
      <c r="N1349" s="19"/>
    </row>
    <row r="1350" spans="2:14" x14ac:dyDescent="0.25">
      <c r="B1350" s="19">
        <v>43616</v>
      </c>
      <c r="C1350">
        <v>46.64</v>
      </c>
      <c r="E1350" s="19">
        <v>43616</v>
      </c>
      <c r="F1350">
        <v>40.875</v>
      </c>
      <c r="H1350" s="19">
        <v>43616</v>
      </c>
      <c r="I1350">
        <v>10.23</v>
      </c>
      <c r="K1350" s="19"/>
      <c r="N1350" s="19"/>
    </row>
    <row r="1351" spans="2:14" x14ac:dyDescent="0.25">
      <c r="B1351" s="19">
        <v>43619</v>
      </c>
      <c r="C1351">
        <v>46.71</v>
      </c>
      <c r="E1351" s="19">
        <v>43619</v>
      </c>
      <c r="F1351">
        <v>40.814999999999998</v>
      </c>
      <c r="H1351" s="19">
        <v>43619</v>
      </c>
      <c r="I1351">
        <v>10.17</v>
      </c>
      <c r="K1351" s="19"/>
      <c r="N1351" s="19"/>
    </row>
    <row r="1352" spans="2:14" x14ac:dyDescent="0.25">
      <c r="B1352" s="19">
        <v>43620</v>
      </c>
      <c r="C1352">
        <v>47.22</v>
      </c>
      <c r="E1352" s="19">
        <v>43620</v>
      </c>
      <c r="F1352">
        <v>41.994999999999997</v>
      </c>
      <c r="H1352" s="19">
        <v>43620</v>
      </c>
      <c r="I1352">
        <v>10.52</v>
      </c>
      <c r="K1352" s="19"/>
      <c r="N1352" s="19"/>
    </row>
    <row r="1353" spans="2:14" x14ac:dyDescent="0.25">
      <c r="B1353" s="19">
        <v>43621</v>
      </c>
      <c r="C1353">
        <v>46.875</v>
      </c>
      <c r="E1353" s="19">
        <v>43621</v>
      </c>
      <c r="F1353">
        <v>41.73</v>
      </c>
      <c r="H1353" s="19">
        <v>43621</v>
      </c>
      <c r="I1353">
        <v>10.414999999999999</v>
      </c>
      <c r="K1353" s="19"/>
      <c r="N1353" s="19"/>
    </row>
    <row r="1354" spans="2:14" x14ac:dyDescent="0.25">
      <c r="B1354" s="19">
        <v>43622</v>
      </c>
      <c r="C1354">
        <v>47.24</v>
      </c>
      <c r="E1354" s="19">
        <v>43622</v>
      </c>
      <c r="F1354">
        <v>41.005000000000003</v>
      </c>
      <c r="H1354" s="19">
        <v>43622</v>
      </c>
      <c r="I1354">
        <v>10.24</v>
      </c>
      <c r="K1354" s="19"/>
      <c r="N1354" s="19"/>
    </row>
    <row r="1355" spans="2:14" x14ac:dyDescent="0.25">
      <c r="B1355" s="19">
        <v>43623</v>
      </c>
      <c r="C1355">
        <v>47.795000000000002</v>
      </c>
      <c r="E1355" s="19">
        <v>43623</v>
      </c>
      <c r="F1355">
        <v>40.814999999999998</v>
      </c>
      <c r="H1355" s="19">
        <v>43623</v>
      </c>
      <c r="I1355">
        <v>10.29</v>
      </c>
      <c r="K1355" s="19"/>
      <c r="N1355" s="19"/>
    </row>
    <row r="1356" spans="2:14" x14ac:dyDescent="0.25">
      <c r="B1356" s="19">
        <v>43626</v>
      </c>
      <c r="C1356">
        <v>48.25</v>
      </c>
      <c r="E1356" s="19">
        <v>43626</v>
      </c>
      <c r="F1356">
        <v>41.48</v>
      </c>
      <c r="H1356" s="19">
        <v>43626</v>
      </c>
      <c r="I1356">
        <v>10.494999999999999</v>
      </c>
      <c r="K1356" s="19"/>
      <c r="N1356" s="19"/>
    </row>
    <row r="1357" spans="2:14" x14ac:dyDescent="0.25">
      <c r="B1357" s="19">
        <v>43627</v>
      </c>
      <c r="C1357">
        <v>48.27</v>
      </c>
      <c r="E1357" s="19">
        <v>43627</v>
      </c>
      <c r="F1357">
        <v>41.555</v>
      </c>
      <c r="H1357" s="19">
        <v>43627</v>
      </c>
      <c r="I1357">
        <v>10.5</v>
      </c>
      <c r="K1357" s="19"/>
      <c r="N1357" s="19"/>
    </row>
    <row r="1358" spans="2:14" x14ac:dyDescent="0.25">
      <c r="B1358" s="19">
        <v>43628</v>
      </c>
      <c r="C1358">
        <v>46.95</v>
      </c>
      <c r="E1358" s="19">
        <v>43628</v>
      </c>
      <c r="F1358">
        <v>41.14</v>
      </c>
      <c r="H1358" s="19">
        <v>43628</v>
      </c>
      <c r="I1358">
        <v>10.375</v>
      </c>
      <c r="K1358" s="19"/>
      <c r="N1358" s="19"/>
    </row>
    <row r="1359" spans="2:14" x14ac:dyDescent="0.25">
      <c r="B1359" s="19">
        <v>43629</v>
      </c>
      <c r="C1359">
        <v>46.98</v>
      </c>
      <c r="E1359" s="19">
        <v>43629</v>
      </c>
      <c r="F1359">
        <v>41.1</v>
      </c>
      <c r="H1359" s="19">
        <v>43629</v>
      </c>
      <c r="I1359">
        <v>10.385</v>
      </c>
      <c r="K1359" s="19"/>
      <c r="N1359" s="19"/>
    </row>
    <row r="1360" spans="2:14" x14ac:dyDescent="0.25">
      <c r="B1360" s="19">
        <v>43630</v>
      </c>
      <c r="C1360">
        <v>47.25</v>
      </c>
      <c r="E1360" s="19">
        <v>43630</v>
      </c>
      <c r="F1360">
        <v>40.86</v>
      </c>
      <c r="H1360" s="19">
        <v>43630</v>
      </c>
      <c r="I1360">
        <v>10.295</v>
      </c>
      <c r="K1360" s="19"/>
      <c r="N1360" s="19"/>
    </row>
    <row r="1361" spans="2:14" x14ac:dyDescent="0.25">
      <c r="B1361" s="19">
        <v>43633</v>
      </c>
      <c r="C1361">
        <v>47.15</v>
      </c>
      <c r="E1361" s="19">
        <v>43633</v>
      </c>
      <c r="F1361">
        <v>40.755000000000003</v>
      </c>
      <c r="H1361" s="19">
        <v>43633</v>
      </c>
      <c r="I1361">
        <v>10.37</v>
      </c>
      <c r="K1361" s="19"/>
      <c r="N1361" s="19"/>
    </row>
    <row r="1362" spans="2:14" x14ac:dyDescent="0.25">
      <c r="B1362" s="19">
        <v>43634</v>
      </c>
      <c r="C1362">
        <v>48.19</v>
      </c>
      <c r="E1362" s="19">
        <v>43634</v>
      </c>
      <c r="F1362">
        <v>41.494999999999997</v>
      </c>
      <c r="H1362" s="19">
        <v>43634</v>
      </c>
      <c r="I1362">
        <v>10.51</v>
      </c>
      <c r="K1362" s="19"/>
      <c r="N1362" s="19"/>
    </row>
    <row r="1363" spans="2:14" x14ac:dyDescent="0.25">
      <c r="B1363" s="19">
        <v>43635</v>
      </c>
      <c r="C1363">
        <v>48.314999999999998</v>
      </c>
      <c r="E1363" s="19">
        <v>43635</v>
      </c>
      <c r="F1363">
        <v>42.225000000000001</v>
      </c>
      <c r="H1363" s="19">
        <v>43635</v>
      </c>
      <c r="I1363">
        <v>10.75</v>
      </c>
      <c r="K1363" s="19"/>
      <c r="N1363" s="19"/>
    </row>
    <row r="1364" spans="2:14" x14ac:dyDescent="0.25">
      <c r="B1364" s="19">
        <v>43636</v>
      </c>
      <c r="C1364">
        <v>48.69</v>
      </c>
      <c r="E1364" s="19">
        <v>43636</v>
      </c>
      <c r="F1364">
        <v>41.42</v>
      </c>
      <c r="H1364" s="19">
        <v>43636</v>
      </c>
      <c r="I1364">
        <v>10.435</v>
      </c>
      <c r="K1364" s="19"/>
      <c r="N1364" s="19"/>
    </row>
    <row r="1365" spans="2:14" x14ac:dyDescent="0.25">
      <c r="B1365" s="19">
        <v>43637</v>
      </c>
      <c r="C1365">
        <v>49.115000000000002</v>
      </c>
      <c r="E1365" s="19">
        <v>43637</v>
      </c>
      <c r="F1365">
        <v>41.05</v>
      </c>
      <c r="H1365" s="19">
        <v>43637</v>
      </c>
      <c r="I1365">
        <v>10.37</v>
      </c>
      <c r="K1365" s="19"/>
      <c r="N1365" s="19"/>
    </row>
    <row r="1366" spans="2:14" x14ac:dyDescent="0.25">
      <c r="B1366" s="19">
        <v>43640</v>
      </c>
      <c r="C1366">
        <v>49</v>
      </c>
      <c r="E1366" s="19">
        <v>43640</v>
      </c>
      <c r="F1366">
        <v>40.76</v>
      </c>
      <c r="H1366" s="19">
        <v>43640</v>
      </c>
      <c r="I1366">
        <v>10.335000000000001</v>
      </c>
      <c r="K1366" s="19"/>
      <c r="N1366" s="19"/>
    </row>
    <row r="1367" spans="2:14" x14ac:dyDescent="0.25">
      <c r="B1367" s="19">
        <v>43641</v>
      </c>
      <c r="C1367">
        <v>48.945</v>
      </c>
      <c r="E1367" s="19">
        <v>43641</v>
      </c>
      <c r="F1367">
        <v>40.46</v>
      </c>
      <c r="H1367" s="19">
        <v>43641</v>
      </c>
      <c r="I1367">
        <v>10.220000000000001</v>
      </c>
      <c r="K1367" s="19"/>
      <c r="N1367" s="19"/>
    </row>
    <row r="1368" spans="2:14" x14ac:dyDescent="0.25">
      <c r="B1368" s="19">
        <v>43642</v>
      </c>
      <c r="C1368">
        <v>49.52</v>
      </c>
      <c r="E1368" s="19">
        <v>43642</v>
      </c>
      <c r="F1368">
        <v>41.164999999999999</v>
      </c>
      <c r="H1368" s="19">
        <v>43642</v>
      </c>
      <c r="I1368">
        <v>10.37</v>
      </c>
      <c r="K1368" s="19"/>
      <c r="N1368" s="19"/>
    </row>
    <row r="1369" spans="2:14" x14ac:dyDescent="0.25">
      <c r="B1369" s="19">
        <v>43643</v>
      </c>
      <c r="C1369">
        <v>49.125</v>
      </c>
      <c r="E1369" s="19">
        <v>43643</v>
      </c>
      <c r="F1369">
        <v>41.445</v>
      </c>
      <c r="H1369" s="19">
        <v>43643</v>
      </c>
      <c r="I1369">
        <v>10.49</v>
      </c>
      <c r="K1369" s="19"/>
      <c r="N1369" s="19"/>
    </row>
    <row r="1370" spans="2:14" x14ac:dyDescent="0.25">
      <c r="B1370" s="19">
        <v>43644</v>
      </c>
      <c r="C1370">
        <v>49.274999999999999</v>
      </c>
      <c r="E1370" s="19">
        <v>43644</v>
      </c>
      <c r="F1370">
        <v>41.765000000000001</v>
      </c>
      <c r="H1370" s="19">
        <v>43644</v>
      </c>
      <c r="I1370">
        <v>10.545</v>
      </c>
      <c r="K1370" s="19"/>
      <c r="N1370" s="19"/>
    </row>
    <row r="1371" spans="2:14" x14ac:dyDescent="0.25">
      <c r="B1371" s="19">
        <v>43647</v>
      </c>
      <c r="C1371">
        <v>49.774999999999999</v>
      </c>
      <c r="E1371" s="19">
        <v>43647</v>
      </c>
      <c r="F1371">
        <v>42.085000000000001</v>
      </c>
      <c r="H1371" s="19">
        <v>43647</v>
      </c>
      <c r="I1371">
        <v>10.785</v>
      </c>
      <c r="K1371" s="19"/>
      <c r="N1371" s="19"/>
    </row>
    <row r="1372" spans="2:14" x14ac:dyDescent="0.25">
      <c r="B1372" s="19">
        <v>43648</v>
      </c>
      <c r="C1372">
        <v>49.59</v>
      </c>
      <c r="E1372" s="19">
        <v>43648</v>
      </c>
      <c r="F1372">
        <v>41.865000000000002</v>
      </c>
      <c r="H1372" s="19">
        <v>43648</v>
      </c>
      <c r="I1372">
        <v>10.75</v>
      </c>
      <c r="K1372" s="19"/>
      <c r="N1372" s="19"/>
    </row>
    <row r="1373" spans="2:14" x14ac:dyDescent="0.25">
      <c r="B1373" s="19">
        <v>43649</v>
      </c>
      <c r="C1373">
        <v>49.115000000000002</v>
      </c>
      <c r="E1373" s="19">
        <v>43649</v>
      </c>
      <c r="F1373">
        <v>42.57</v>
      </c>
      <c r="H1373" s="19">
        <v>43649</v>
      </c>
      <c r="I1373">
        <v>10.925000000000001</v>
      </c>
      <c r="K1373" s="19"/>
      <c r="N1373" s="19"/>
    </row>
    <row r="1374" spans="2:14" x14ac:dyDescent="0.25">
      <c r="B1374" s="19">
        <v>43650</v>
      </c>
      <c r="C1374">
        <v>49.454999999999998</v>
      </c>
      <c r="E1374" s="19">
        <v>43650</v>
      </c>
      <c r="F1374">
        <v>43.045000000000002</v>
      </c>
      <c r="H1374" s="19">
        <v>43650</v>
      </c>
      <c r="I1374">
        <v>11.12</v>
      </c>
      <c r="K1374" s="19"/>
      <c r="N1374" s="19"/>
    </row>
    <row r="1375" spans="2:14" x14ac:dyDescent="0.25">
      <c r="B1375" s="19">
        <v>43651</v>
      </c>
      <c r="C1375">
        <v>49.414999999999999</v>
      </c>
      <c r="E1375" s="19">
        <v>43651</v>
      </c>
      <c r="F1375">
        <v>43.405000000000001</v>
      </c>
      <c r="H1375" s="19">
        <v>43651</v>
      </c>
      <c r="I1375">
        <v>11.13</v>
      </c>
      <c r="K1375" s="19"/>
      <c r="N1375" s="19"/>
    </row>
    <row r="1376" spans="2:14" x14ac:dyDescent="0.25">
      <c r="B1376" s="19">
        <v>43654</v>
      </c>
      <c r="C1376">
        <v>49.7</v>
      </c>
      <c r="E1376" s="19">
        <v>43654</v>
      </c>
      <c r="F1376">
        <v>42.97</v>
      </c>
      <c r="H1376" s="19">
        <v>43654</v>
      </c>
      <c r="I1376">
        <v>10.975</v>
      </c>
      <c r="K1376" s="19"/>
      <c r="N1376" s="19"/>
    </row>
    <row r="1377" spans="2:14" x14ac:dyDescent="0.25">
      <c r="B1377" s="19">
        <v>43655</v>
      </c>
      <c r="C1377">
        <v>49.51</v>
      </c>
      <c r="E1377" s="19">
        <v>43655</v>
      </c>
      <c r="F1377">
        <v>42.575000000000003</v>
      </c>
      <c r="H1377" s="19">
        <v>43655</v>
      </c>
      <c r="I1377">
        <v>10.935</v>
      </c>
      <c r="K1377" s="19"/>
      <c r="N1377" s="19"/>
    </row>
    <row r="1378" spans="2:14" x14ac:dyDescent="0.25">
      <c r="B1378" s="19">
        <v>43656</v>
      </c>
      <c r="C1378">
        <v>49.76</v>
      </c>
      <c r="E1378" s="19">
        <v>43656</v>
      </c>
      <c r="F1378">
        <v>42.695</v>
      </c>
      <c r="H1378" s="19">
        <v>43656</v>
      </c>
      <c r="I1378">
        <v>10.97</v>
      </c>
      <c r="K1378" s="19"/>
      <c r="N1378" s="19"/>
    </row>
    <row r="1379" spans="2:14" x14ac:dyDescent="0.25">
      <c r="B1379" s="19">
        <v>43657</v>
      </c>
      <c r="C1379">
        <v>49.86</v>
      </c>
      <c r="E1379" s="19">
        <v>43657</v>
      </c>
      <c r="F1379">
        <v>42.57</v>
      </c>
      <c r="H1379" s="19">
        <v>43657</v>
      </c>
      <c r="I1379">
        <v>10.97</v>
      </c>
      <c r="K1379" s="19"/>
      <c r="N1379" s="19"/>
    </row>
    <row r="1380" spans="2:14" x14ac:dyDescent="0.25">
      <c r="B1380" s="19">
        <v>43658</v>
      </c>
      <c r="C1380">
        <v>49.87</v>
      </c>
      <c r="E1380" s="19">
        <v>43658</v>
      </c>
      <c r="F1380">
        <v>42.53</v>
      </c>
      <c r="H1380" s="19">
        <v>43658</v>
      </c>
      <c r="I1380">
        <v>10.994999999999999</v>
      </c>
      <c r="K1380" s="19"/>
      <c r="N1380" s="19"/>
    </row>
    <row r="1381" spans="2:14" x14ac:dyDescent="0.25">
      <c r="B1381" s="19">
        <v>43661</v>
      </c>
      <c r="C1381">
        <v>50.09</v>
      </c>
      <c r="E1381" s="19">
        <v>43661</v>
      </c>
      <c r="F1381">
        <v>42.84</v>
      </c>
      <c r="H1381" s="19">
        <v>43661</v>
      </c>
      <c r="I1381">
        <v>11.01</v>
      </c>
      <c r="K1381" s="19"/>
      <c r="N1381" s="19"/>
    </row>
    <row r="1382" spans="2:14" x14ac:dyDescent="0.25">
      <c r="B1382" s="19">
        <v>43662</v>
      </c>
      <c r="C1382">
        <v>49.965000000000003</v>
      </c>
      <c r="E1382" s="19">
        <v>43662</v>
      </c>
      <c r="F1382">
        <v>43.204999999999998</v>
      </c>
      <c r="H1382" s="19">
        <v>43662</v>
      </c>
      <c r="I1382">
        <v>11.12</v>
      </c>
      <c r="K1382" s="19"/>
      <c r="N1382" s="19"/>
    </row>
    <row r="1383" spans="2:14" x14ac:dyDescent="0.25">
      <c r="B1383" s="19">
        <v>43663</v>
      </c>
      <c r="C1383">
        <v>48.59</v>
      </c>
      <c r="E1383" s="19">
        <v>43663</v>
      </c>
      <c r="F1383">
        <v>42.52</v>
      </c>
      <c r="H1383" s="19">
        <v>43663</v>
      </c>
      <c r="I1383">
        <v>10.965</v>
      </c>
      <c r="K1383" s="19"/>
      <c r="N1383" s="19"/>
    </row>
    <row r="1384" spans="2:14" x14ac:dyDescent="0.25">
      <c r="B1384" s="19">
        <v>43664</v>
      </c>
      <c r="C1384">
        <v>48.03</v>
      </c>
      <c r="E1384" s="19">
        <v>43664</v>
      </c>
      <c r="F1384">
        <v>42.37</v>
      </c>
      <c r="H1384" s="19">
        <v>43664</v>
      </c>
      <c r="I1384">
        <v>10.79</v>
      </c>
      <c r="K1384" s="19"/>
      <c r="N1384" s="19"/>
    </row>
    <row r="1385" spans="2:14" x14ac:dyDescent="0.25">
      <c r="B1385" s="19">
        <v>43665</v>
      </c>
      <c r="C1385">
        <v>48.2</v>
      </c>
      <c r="E1385" s="19">
        <v>43665</v>
      </c>
      <c r="F1385">
        <v>41.994999999999997</v>
      </c>
      <c r="H1385" s="19">
        <v>43665</v>
      </c>
      <c r="I1385">
        <v>10.79</v>
      </c>
      <c r="K1385" s="19"/>
      <c r="N1385" s="19"/>
    </row>
    <row r="1386" spans="2:14" x14ac:dyDescent="0.25">
      <c r="B1386" s="19">
        <v>43668</v>
      </c>
      <c r="C1386">
        <v>48.195</v>
      </c>
      <c r="E1386" s="19">
        <v>43668</v>
      </c>
      <c r="F1386">
        <v>41.994999999999997</v>
      </c>
      <c r="H1386" s="19">
        <v>43668</v>
      </c>
      <c r="I1386">
        <v>10.81</v>
      </c>
      <c r="K1386" s="19"/>
      <c r="N1386" s="19"/>
    </row>
    <row r="1387" spans="2:14" x14ac:dyDescent="0.25">
      <c r="B1387" s="19">
        <v>43669</v>
      </c>
      <c r="C1387">
        <v>48.86</v>
      </c>
      <c r="E1387" s="19">
        <v>43669</v>
      </c>
      <c r="F1387">
        <v>42.924999999999997</v>
      </c>
      <c r="H1387" s="19">
        <v>43669</v>
      </c>
      <c r="I1387">
        <v>11.02</v>
      </c>
      <c r="K1387" s="19"/>
      <c r="N1387" s="19"/>
    </row>
    <row r="1388" spans="2:14" x14ac:dyDescent="0.25">
      <c r="B1388" s="19">
        <v>43670</v>
      </c>
      <c r="C1388">
        <v>48.45</v>
      </c>
      <c r="E1388" s="19">
        <v>43670</v>
      </c>
      <c r="F1388">
        <v>42.93</v>
      </c>
      <c r="H1388" s="19">
        <v>43670</v>
      </c>
      <c r="I1388">
        <v>11.04</v>
      </c>
      <c r="K1388" s="19"/>
      <c r="N1388" s="19"/>
    </row>
    <row r="1389" spans="2:14" x14ac:dyDescent="0.25">
      <c r="B1389" s="19">
        <v>43671</v>
      </c>
      <c r="C1389">
        <v>47.92</v>
      </c>
      <c r="E1389" s="19">
        <v>43671</v>
      </c>
      <c r="F1389">
        <v>42.99</v>
      </c>
      <c r="H1389" s="19">
        <v>43671</v>
      </c>
      <c r="I1389">
        <v>11.05</v>
      </c>
      <c r="K1389" s="19"/>
      <c r="N1389" s="19"/>
    </row>
    <row r="1390" spans="2:14" x14ac:dyDescent="0.25">
      <c r="B1390" s="19">
        <v>43672</v>
      </c>
      <c r="C1390">
        <v>48.03</v>
      </c>
      <c r="E1390" s="19">
        <v>43672</v>
      </c>
      <c r="F1390">
        <v>42.935000000000002</v>
      </c>
      <c r="H1390" s="19">
        <v>43672</v>
      </c>
      <c r="I1390">
        <v>11</v>
      </c>
      <c r="K1390" s="19"/>
      <c r="N1390" s="19"/>
    </row>
    <row r="1391" spans="2:14" x14ac:dyDescent="0.25">
      <c r="B1391" s="19">
        <v>43675</v>
      </c>
      <c r="C1391">
        <v>48.06</v>
      </c>
      <c r="E1391" s="19">
        <v>43675</v>
      </c>
      <c r="F1391">
        <v>42.655000000000001</v>
      </c>
      <c r="H1391" s="19">
        <v>43675</v>
      </c>
      <c r="I1391">
        <v>10.955</v>
      </c>
      <c r="K1391" s="19"/>
      <c r="N1391" s="19"/>
    </row>
    <row r="1392" spans="2:14" x14ac:dyDescent="0.25">
      <c r="B1392" s="19">
        <v>43676</v>
      </c>
      <c r="C1392">
        <v>47.234999999999999</v>
      </c>
      <c r="E1392" s="19">
        <v>43676</v>
      </c>
      <c r="F1392">
        <v>41.52</v>
      </c>
      <c r="H1392" s="19">
        <v>43676</v>
      </c>
      <c r="I1392">
        <v>10.645</v>
      </c>
      <c r="K1392" s="19"/>
      <c r="N1392" s="19"/>
    </row>
    <row r="1393" spans="2:14" x14ac:dyDescent="0.25">
      <c r="B1393" s="19">
        <v>43677</v>
      </c>
      <c r="C1393">
        <v>47.034999999999997</v>
      </c>
      <c r="E1393" s="19">
        <v>43677</v>
      </c>
      <c r="F1393">
        <v>42.18</v>
      </c>
      <c r="H1393" s="19">
        <v>43677</v>
      </c>
      <c r="I1393">
        <v>10.78</v>
      </c>
      <c r="K1393" s="19"/>
      <c r="N1393" s="19"/>
    </row>
    <row r="1394" spans="2:14" x14ac:dyDescent="0.25">
      <c r="B1394" s="19">
        <v>43678</v>
      </c>
      <c r="C1394">
        <v>46.55</v>
      </c>
      <c r="E1394" s="19">
        <v>43678</v>
      </c>
      <c r="F1394">
        <v>42.844999999999999</v>
      </c>
      <c r="H1394" s="19">
        <v>43678</v>
      </c>
      <c r="I1394">
        <v>10.87</v>
      </c>
      <c r="K1394" s="19"/>
      <c r="N1394" s="19"/>
    </row>
    <row r="1395" spans="2:14" x14ac:dyDescent="0.25">
      <c r="B1395" s="19">
        <v>43679</v>
      </c>
      <c r="C1395">
        <v>44.73</v>
      </c>
      <c r="E1395" s="19">
        <v>43679</v>
      </c>
      <c r="F1395">
        <v>41.15</v>
      </c>
      <c r="H1395" s="19">
        <v>43679</v>
      </c>
      <c r="I1395">
        <v>10.34</v>
      </c>
      <c r="K1395" s="19"/>
      <c r="N1395" s="19"/>
    </row>
    <row r="1396" spans="2:14" x14ac:dyDescent="0.25">
      <c r="B1396" s="19">
        <v>43682</v>
      </c>
      <c r="C1396">
        <v>44.134999999999998</v>
      </c>
      <c r="E1396" s="19">
        <v>43682</v>
      </c>
      <c r="F1396">
        <v>40.414999999999999</v>
      </c>
      <c r="H1396" s="19">
        <v>43682</v>
      </c>
      <c r="I1396">
        <v>10.26</v>
      </c>
      <c r="K1396" s="19"/>
      <c r="N1396" s="19"/>
    </row>
    <row r="1397" spans="2:14" x14ac:dyDescent="0.25">
      <c r="B1397" s="19">
        <v>43683</v>
      </c>
      <c r="C1397">
        <v>43.545000000000002</v>
      </c>
      <c r="E1397" s="19">
        <v>43683</v>
      </c>
      <c r="F1397">
        <v>40.270000000000003</v>
      </c>
      <c r="H1397" s="19">
        <v>43683</v>
      </c>
      <c r="I1397">
        <v>10.215</v>
      </c>
      <c r="K1397" s="19"/>
      <c r="N1397" s="19"/>
    </row>
    <row r="1398" spans="2:14" x14ac:dyDescent="0.25">
      <c r="B1398" s="19">
        <v>43684</v>
      </c>
      <c r="C1398">
        <v>43.18</v>
      </c>
      <c r="E1398" s="19">
        <v>43684</v>
      </c>
      <c r="F1398">
        <v>39.954999999999998</v>
      </c>
      <c r="H1398" s="19">
        <v>43684</v>
      </c>
      <c r="I1398">
        <v>10.11</v>
      </c>
      <c r="K1398" s="19"/>
      <c r="N1398" s="19"/>
    </row>
    <row r="1399" spans="2:14" x14ac:dyDescent="0.25">
      <c r="B1399" s="19">
        <v>43685</v>
      </c>
      <c r="C1399">
        <v>43.91</v>
      </c>
      <c r="E1399" s="19">
        <v>43685</v>
      </c>
      <c r="F1399">
        <v>40.744999999999997</v>
      </c>
      <c r="H1399" s="19">
        <v>43685</v>
      </c>
      <c r="I1399">
        <v>10.33</v>
      </c>
      <c r="K1399" s="19"/>
      <c r="N1399" s="19"/>
    </row>
    <row r="1400" spans="2:14" x14ac:dyDescent="0.25">
      <c r="B1400" s="19">
        <v>43686</v>
      </c>
      <c r="C1400">
        <v>43.49</v>
      </c>
      <c r="E1400" s="19">
        <v>43686</v>
      </c>
      <c r="F1400">
        <v>40.204999999999998</v>
      </c>
      <c r="H1400" s="19">
        <v>43686</v>
      </c>
      <c r="I1400">
        <v>10.175000000000001</v>
      </c>
      <c r="K1400" s="19"/>
      <c r="N1400" s="19"/>
    </row>
    <row r="1401" spans="2:14" x14ac:dyDescent="0.25">
      <c r="B1401" s="19">
        <v>43689</v>
      </c>
      <c r="C1401">
        <v>43.23</v>
      </c>
      <c r="E1401" s="19">
        <v>43689</v>
      </c>
      <c r="F1401">
        <v>39.664999999999999</v>
      </c>
      <c r="H1401" s="19">
        <v>43689</v>
      </c>
      <c r="I1401">
        <v>9.99</v>
      </c>
      <c r="K1401" s="19"/>
      <c r="N1401" s="19"/>
    </row>
    <row r="1402" spans="2:14" x14ac:dyDescent="0.25">
      <c r="B1402" s="19">
        <v>43690</v>
      </c>
      <c r="C1402">
        <v>44.22</v>
      </c>
      <c r="E1402" s="19">
        <v>43690</v>
      </c>
      <c r="F1402">
        <v>40.369999999999997</v>
      </c>
      <c r="H1402" s="19">
        <v>43690</v>
      </c>
      <c r="I1402">
        <v>10.130000000000001</v>
      </c>
      <c r="K1402" s="19"/>
      <c r="N1402" s="19"/>
    </row>
    <row r="1403" spans="2:14" x14ac:dyDescent="0.25">
      <c r="B1403" s="19">
        <v>43691</v>
      </c>
      <c r="C1403">
        <v>43.64</v>
      </c>
      <c r="E1403" s="19">
        <v>43691</v>
      </c>
      <c r="F1403">
        <v>39.32</v>
      </c>
      <c r="H1403" s="19">
        <v>43691</v>
      </c>
      <c r="I1403">
        <v>9.9320000000000004</v>
      </c>
      <c r="K1403" s="19"/>
      <c r="N1403" s="19"/>
    </row>
    <row r="1404" spans="2:14" x14ac:dyDescent="0.25">
      <c r="B1404" s="19">
        <v>43692</v>
      </c>
      <c r="C1404">
        <v>43.3</v>
      </c>
      <c r="E1404" s="19">
        <v>43692</v>
      </c>
      <c r="F1404">
        <v>39.6</v>
      </c>
      <c r="H1404" s="19">
        <v>43692</v>
      </c>
      <c r="I1404">
        <v>9.91</v>
      </c>
      <c r="K1404" s="19"/>
      <c r="N1404" s="19"/>
    </row>
    <row r="1405" spans="2:14" x14ac:dyDescent="0.25">
      <c r="B1405" s="19">
        <v>43693</v>
      </c>
      <c r="C1405">
        <v>43.234999999999999</v>
      </c>
      <c r="E1405" s="19">
        <v>43693</v>
      </c>
      <c r="F1405">
        <v>40.61</v>
      </c>
      <c r="H1405" s="19">
        <v>43693</v>
      </c>
      <c r="I1405">
        <v>10.23</v>
      </c>
      <c r="K1405" s="19"/>
      <c r="N1405" s="19"/>
    </row>
    <row r="1406" spans="2:14" x14ac:dyDescent="0.25">
      <c r="B1406" s="19">
        <v>43696</v>
      </c>
      <c r="C1406">
        <v>44.15</v>
      </c>
      <c r="E1406" s="19">
        <v>43696</v>
      </c>
      <c r="F1406">
        <v>40.795000000000002</v>
      </c>
      <c r="H1406" s="19">
        <v>43696</v>
      </c>
      <c r="I1406">
        <v>10.28</v>
      </c>
      <c r="K1406" s="19"/>
      <c r="N1406" s="19"/>
    </row>
    <row r="1407" spans="2:14" x14ac:dyDescent="0.25">
      <c r="B1407" s="19">
        <v>43697</v>
      </c>
      <c r="C1407">
        <v>43.664999999999999</v>
      </c>
      <c r="E1407" s="19">
        <v>43697</v>
      </c>
      <c r="F1407">
        <v>40.53</v>
      </c>
      <c r="H1407" s="19">
        <v>43697</v>
      </c>
      <c r="I1407">
        <v>10.130000000000001</v>
      </c>
      <c r="K1407" s="19"/>
      <c r="N1407" s="19"/>
    </row>
    <row r="1408" spans="2:14" x14ac:dyDescent="0.25">
      <c r="B1408" s="19">
        <v>43698</v>
      </c>
      <c r="C1408">
        <v>44.384999999999998</v>
      </c>
      <c r="E1408" s="19">
        <v>43698</v>
      </c>
      <c r="F1408">
        <v>40.604999999999997</v>
      </c>
      <c r="H1408" s="19">
        <v>43698</v>
      </c>
      <c r="I1408">
        <v>10.17</v>
      </c>
      <c r="K1408" s="19"/>
      <c r="N1408" s="19"/>
    </row>
    <row r="1409" spans="2:14" x14ac:dyDescent="0.25">
      <c r="B1409" s="19">
        <v>43699</v>
      </c>
      <c r="C1409">
        <v>44.395000000000003</v>
      </c>
      <c r="E1409" s="19">
        <v>43699</v>
      </c>
      <c r="F1409">
        <v>40.94</v>
      </c>
      <c r="H1409" s="19">
        <v>43699</v>
      </c>
      <c r="I1409">
        <v>10.255000000000001</v>
      </c>
      <c r="K1409" s="19"/>
      <c r="N1409" s="19"/>
    </row>
    <row r="1410" spans="2:14" x14ac:dyDescent="0.25">
      <c r="B1410" s="19">
        <v>43700</v>
      </c>
      <c r="C1410">
        <v>43.58</v>
      </c>
      <c r="E1410" s="19">
        <v>43700</v>
      </c>
      <c r="F1410">
        <v>40.064999999999998</v>
      </c>
      <c r="H1410" s="19">
        <v>43700</v>
      </c>
      <c r="I1410">
        <v>10.085000000000001</v>
      </c>
      <c r="K1410" s="19"/>
      <c r="N1410" s="19"/>
    </row>
    <row r="1411" spans="2:14" x14ac:dyDescent="0.25">
      <c r="B1411" s="19">
        <v>43703</v>
      </c>
      <c r="C1411">
        <v>43.84</v>
      </c>
      <c r="E1411" s="19">
        <v>43703</v>
      </c>
      <c r="F1411">
        <v>40.549999999999997</v>
      </c>
      <c r="H1411" s="19">
        <v>43703</v>
      </c>
      <c r="I1411">
        <v>10.14</v>
      </c>
      <c r="K1411" s="19"/>
      <c r="N1411" s="19"/>
    </row>
    <row r="1412" spans="2:14" x14ac:dyDescent="0.25">
      <c r="B1412" s="19">
        <v>43704</v>
      </c>
      <c r="C1412">
        <v>43.965000000000003</v>
      </c>
      <c r="E1412" s="19">
        <v>43704</v>
      </c>
      <c r="F1412">
        <v>40.325000000000003</v>
      </c>
      <c r="H1412" s="19">
        <v>43704</v>
      </c>
      <c r="I1412">
        <v>10.08</v>
      </c>
      <c r="K1412" s="19"/>
      <c r="N1412" s="19"/>
    </row>
    <row r="1413" spans="2:14" x14ac:dyDescent="0.25">
      <c r="B1413" s="19">
        <v>43705</v>
      </c>
      <c r="C1413">
        <v>44.314999999999998</v>
      </c>
      <c r="E1413" s="19">
        <v>43705</v>
      </c>
      <c r="F1413">
        <v>40.200000000000003</v>
      </c>
      <c r="H1413" s="19">
        <v>43705</v>
      </c>
      <c r="I1413">
        <v>10.1</v>
      </c>
      <c r="K1413" s="19"/>
      <c r="N1413" s="19"/>
    </row>
    <row r="1414" spans="2:14" x14ac:dyDescent="0.25">
      <c r="B1414" s="19">
        <v>43706</v>
      </c>
      <c r="C1414">
        <v>45</v>
      </c>
      <c r="E1414" s="19">
        <v>43706</v>
      </c>
      <c r="F1414">
        <v>40.825000000000003</v>
      </c>
      <c r="H1414" s="19">
        <v>43706</v>
      </c>
      <c r="I1414">
        <v>10.27</v>
      </c>
      <c r="K1414" s="19"/>
      <c r="N1414" s="19"/>
    </row>
    <row r="1415" spans="2:14" x14ac:dyDescent="0.25">
      <c r="B1415" s="19">
        <v>43707</v>
      </c>
      <c r="C1415">
        <v>45.39</v>
      </c>
      <c r="E1415" s="19">
        <v>43707</v>
      </c>
      <c r="F1415">
        <v>41.034999999999997</v>
      </c>
      <c r="H1415" s="19">
        <v>43707</v>
      </c>
      <c r="I1415">
        <v>10.39</v>
      </c>
      <c r="K1415" s="19"/>
      <c r="N1415" s="19"/>
    </row>
    <row r="1416" spans="2:14" x14ac:dyDescent="0.25">
      <c r="B1416" s="19">
        <v>43710</v>
      </c>
      <c r="C1416">
        <v>45.28</v>
      </c>
      <c r="E1416" s="19">
        <v>43710</v>
      </c>
      <c r="F1416">
        <v>41.045000000000002</v>
      </c>
      <c r="H1416" s="19">
        <v>43710</v>
      </c>
      <c r="I1416">
        <v>10.355</v>
      </c>
      <c r="K1416" s="19"/>
      <c r="N1416" s="19"/>
    </row>
    <row r="1417" spans="2:14" x14ac:dyDescent="0.25">
      <c r="B1417" s="19">
        <v>43711</v>
      </c>
      <c r="C1417">
        <v>44.774999999999999</v>
      </c>
      <c r="E1417" s="19">
        <v>43711</v>
      </c>
      <c r="F1417">
        <v>40.844999999999999</v>
      </c>
      <c r="H1417" s="19">
        <v>43711</v>
      </c>
      <c r="I1417">
        <v>10.295</v>
      </c>
      <c r="K1417" s="19"/>
      <c r="N1417" s="19"/>
    </row>
    <row r="1418" spans="2:14" x14ac:dyDescent="0.25">
      <c r="B1418" s="19">
        <v>43712</v>
      </c>
      <c r="C1418">
        <v>45.405000000000001</v>
      </c>
      <c r="E1418" s="19">
        <v>43712</v>
      </c>
      <c r="F1418">
        <v>41.255000000000003</v>
      </c>
      <c r="H1418" s="19">
        <v>43712</v>
      </c>
      <c r="I1418">
        <v>10.38</v>
      </c>
      <c r="K1418" s="19"/>
      <c r="N1418" s="19"/>
    </row>
    <row r="1419" spans="2:14" x14ac:dyDescent="0.25">
      <c r="B1419" s="19">
        <v>43713</v>
      </c>
      <c r="C1419">
        <v>46.225000000000001</v>
      </c>
      <c r="E1419" s="19">
        <v>43713</v>
      </c>
      <c r="F1419">
        <v>42.46</v>
      </c>
      <c r="H1419" s="19">
        <v>43713</v>
      </c>
      <c r="I1419">
        <v>10.67</v>
      </c>
      <c r="K1419" s="19"/>
      <c r="N1419" s="19"/>
    </row>
    <row r="1420" spans="2:14" x14ac:dyDescent="0.25">
      <c r="B1420" s="19">
        <v>43714</v>
      </c>
      <c r="C1420">
        <v>45.78</v>
      </c>
      <c r="E1420" s="19">
        <v>43714</v>
      </c>
      <c r="F1420">
        <v>42.45</v>
      </c>
      <c r="H1420" s="19">
        <v>43714</v>
      </c>
      <c r="I1420">
        <v>10.715</v>
      </c>
      <c r="K1420" s="19"/>
      <c r="N1420" s="19"/>
    </row>
    <row r="1421" spans="2:14" x14ac:dyDescent="0.25">
      <c r="B1421" s="19">
        <v>43717</v>
      </c>
      <c r="C1421">
        <v>46.325000000000003</v>
      </c>
      <c r="E1421" s="19">
        <v>43717</v>
      </c>
      <c r="F1421">
        <v>43.71</v>
      </c>
      <c r="H1421" s="19">
        <v>43717</v>
      </c>
      <c r="I1421">
        <v>11.01</v>
      </c>
      <c r="K1421" s="19"/>
      <c r="N1421" s="19"/>
    </row>
    <row r="1422" spans="2:14" x14ac:dyDescent="0.25">
      <c r="B1422" s="19">
        <v>43718</v>
      </c>
      <c r="C1422">
        <v>47.375</v>
      </c>
      <c r="E1422" s="19">
        <v>43718</v>
      </c>
      <c r="F1422">
        <v>44.55</v>
      </c>
      <c r="H1422" s="19">
        <v>43718</v>
      </c>
      <c r="I1422">
        <v>11.255000000000001</v>
      </c>
      <c r="K1422" s="19"/>
      <c r="N1422" s="19"/>
    </row>
    <row r="1423" spans="2:14" x14ac:dyDescent="0.25">
      <c r="B1423" s="19">
        <v>43719</v>
      </c>
      <c r="C1423">
        <v>47.145000000000003</v>
      </c>
      <c r="E1423" s="19">
        <v>43719</v>
      </c>
      <c r="F1423">
        <v>44.3</v>
      </c>
      <c r="H1423" s="19">
        <v>43719</v>
      </c>
      <c r="I1423">
        <v>11.13</v>
      </c>
      <c r="K1423" s="19"/>
      <c r="N1423" s="19"/>
    </row>
    <row r="1424" spans="2:14" x14ac:dyDescent="0.25">
      <c r="B1424" s="19">
        <v>43720</v>
      </c>
      <c r="C1424">
        <v>46.58</v>
      </c>
      <c r="E1424" s="19">
        <v>43720</v>
      </c>
      <c r="F1424">
        <v>44.234999999999999</v>
      </c>
      <c r="H1424" s="19">
        <v>43720</v>
      </c>
      <c r="I1424">
        <v>11.154999999999999</v>
      </c>
      <c r="K1424" s="19"/>
      <c r="N1424" s="19"/>
    </row>
    <row r="1425" spans="2:14" x14ac:dyDescent="0.25">
      <c r="B1425" s="19">
        <v>43721</v>
      </c>
      <c r="C1425">
        <v>46.65</v>
      </c>
      <c r="E1425" s="19">
        <v>43721</v>
      </c>
      <c r="F1425">
        <v>45.354999999999997</v>
      </c>
      <c r="H1425" s="19">
        <v>43721</v>
      </c>
      <c r="I1425">
        <v>11.484999999999999</v>
      </c>
      <c r="K1425" s="19"/>
      <c r="N1425" s="19"/>
    </row>
    <row r="1426" spans="2:14" x14ac:dyDescent="0.25">
      <c r="B1426" s="19">
        <v>43724</v>
      </c>
      <c r="C1426">
        <v>47.814999999999998</v>
      </c>
      <c r="E1426" s="19">
        <v>43724</v>
      </c>
      <c r="F1426">
        <v>44.59</v>
      </c>
      <c r="H1426" s="19">
        <v>43724</v>
      </c>
      <c r="I1426">
        <v>11.36</v>
      </c>
      <c r="K1426" s="19"/>
      <c r="N1426" s="19"/>
    </row>
    <row r="1427" spans="2:14" x14ac:dyDescent="0.25">
      <c r="B1427" s="19">
        <v>43725</v>
      </c>
      <c r="C1427">
        <v>47.854999999999997</v>
      </c>
      <c r="E1427" s="19">
        <v>43725</v>
      </c>
      <c r="F1427">
        <v>43.875</v>
      </c>
      <c r="H1427" s="19">
        <v>43725</v>
      </c>
      <c r="I1427">
        <v>11.07</v>
      </c>
      <c r="K1427" s="19"/>
      <c r="N1427" s="19"/>
    </row>
    <row r="1428" spans="2:14" x14ac:dyDescent="0.25">
      <c r="B1428" s="19">
        <v>43726</v>
      </c>
      <c r="C1428">
        <v>48.02</v>
      </c>
      <c r="E1428" s="19">
        <v>43726</v>
      </c>
      <c r="F1428">
        <v>43.805</v>
      </c>
      <c r="H1428" s="19">
        <v>43726</v>
      </c>
      <c r="I1428">
        <v>11.035</v>
      </c>
      <c r="K1428" s="19"/>
      <c r="N1428" s="19"/>
    </row>
    <row r="1429" spans="2:14" x14ac:dyDescent="0.25">
      <c r="B1429" s="19">
        <v>43727</v>
      </c>
      <c r="C1429">
        <v>48.164999999999999</v>
      </c>
      <c r="E1429" s="19">
        <v>43727</v>
      </c>
      <c r="F1429">
        <v>44.75</v>
      </c>
      <c r="H1429" s="19">
        <v>43727</v>
      </c>
      <c r="I1429">
        <v>11.25</v>
      </c>
      <c r="K1429" s="19"/>
      <c r="N1429" s="19"/>
    </row>
    <row r="1430" spans="2:14" x14ac:dyDescent="0.25">
      <c r="B1430" s="19">
        <v>43728</v>
      </c>
      <c r="C1430">
        <v>49.48</v>
      </c>
      <c r="E1430" s="19">
        <v>43728</v>
      </c>
      <c r="F1430">
        <v>45.295000000000002</v>
      </c>
      <c r="H1430" s="19">
        <v>43728</v>
      </c>
      <c r="I1430">
        <v>11.28</v>
      </c>
      <c r="K1430" s="19"/>
      <c r="N1430" s="19"/>
    </row>
    <row r="1431" spans="2:14" x14ac:dyDescent="0.25">
      <c r="B1431" s="19">
        <v>43731</v>
      </c>
      <c r="C1431">
        <v>48.664999999999999</v>
      </c>
      <c r="E1431" s="19">
        <v>43731</v>
      </c>
      <c r="F1431">
        <v>44.01</v>
      </c>
      <c r="H1431" s="19">
        <v>43731</v>
      </c>
      <c r="I1431">
        <v>11.13</v>
      </c>
      <c r="K1431" s="19"/>
      <c r="N1431" s="19"/>
    </row>
    <row r="1432" spans="2:14" x14ac:dyDescent="0.25">
      <c r="B1432" s="19">
        <v>43732</v>
      </c>
      <c r="C1432">
        <v>47.744999999999997</v>
      </c>
      <c r="E1432" s="19">
        <v>43732</v>
      </c>
      <c r="F1432">
        <v>43.734999999999999</v>
      </c>
      <c r="H1432" s="19">
        <v>43732</v>
      </c>
      <c r="I1432">
        <v>10.97</v>
      </c>
      <c r="K1432" s="19"/>
      <c r="N1432" s="19"/>
    </row>
    <row r="1433" spans="2:14" x14ac:dyDescent="0.25">
      <c r="B1433" s="19">
        <v>43733</v>
      </c>
      <c r="C1433">
        <v>47.19</v>
      </c>
      <c r="E1433" s="19">
        <v>43733</v>
      </c>
      <c r="F1433">
        <v>43.51</v>
      </c>
      <c r="H1433" s="19">
        <v>43733</v>
      </c>
      <c r="I1433">
        <v>11.015000000000001</v>
      </c>
      <c r="K1433" s="19"/>
      <c r="N1433" s="19"/>
    </row>
    <row r="1434" spans="2:14" x14ac:dyDescent="0.25">
      <c r="B1434" s="19">
        <v>43734</v>
      </c>
      <c r="C1434">
        <v>47.38</v>
      </c>
      <c r="E1434" s="19">
        <v>43734</v>
      </c>
      <c r="F1434">
        <v>43.844999999999999</v>
      </c>
      <c r="H1434" s="19">
        <v>43734</v>
      </c>
      <c r="I1434">
        <v>11.07</v>
      </c>
      <c r="K1434" s="19"/>
      <c r="N1434" s="19"/>
    </row>
    <row r="1435" spans="2:14" x14ac:dyDescent="0.25">
      <c r="B1435" s="19">
        <v>43735</v>
      </c>
      <c r="C1435">
        <v>47.59</v>
      </c>
      <c r="E1435" s="19">
        <v>43735</v>
      </c>
      <c r="F1435">
        <v>44.19</v>
      </c>
      <c r="H1435" s="19">
        <v>43735</v>
      </c>
      <c r="I1435">
        <v>11.115</v>
      </c>
      <c r="K1435" s="19"/>
      <c r="N1435" s="19"/>
    </row>
    <row r="1436" spans="2:14" x14ac:dyDescent="0.25">
      <c r="B1436" s="19">
        <v>43738</v>
      </c>
      <c r="C1436">
        <v>47.884999999999998</v>
      </c>
      <c r="E1436" s="19">
        <v>43738</v>
      </c>
      <c r="F1436">
        <v>44.67</v>
      </c>
      <c r="H1436" s="19">
        <v>43738</v>
      </c>
      <c r="I1436">
        <v>11.14</v>
      </c>
      <c r="K1436" s="19"/>
      <c r="N1436" s="19"/>
    </row>
    <row r="1437" spans="2:14" x14ac:dyDescent="0.25">
      <c r="B1437" s="19">
        <v>43739</v>
      </c>
      <c r="C1437">
        <v>47.34</v>
      </c>
      <c r="E1437" s="19">
        <v>43739</v>
      </c>
      <c r="F1437">
        <v>44.04</v>
      </c>
      <c r="H1437" s="19">
        <v>43739</v>
      </c>
      <c r="I1437">
        <v>10.984999999999999</v>
      </c>
      <c r="K1437" s="19"/>
      <c r="N1437" s="19"/>
    </row>
    <row r="1438" spans="2:14" x14ac:dyDescent="0.25">
      <c r="B1438" s="19">
        <v>43740</v>
      </c>
      <c r="C1438">
        <v>45.454999999999998</v>
      </c>
      <c r="E1438" s="19">
        <v>43740</v>
      </c>
      <c r="F1438">
        <v>42.5</v>
      </c>
      <c r="H1438" s="19">
        <v>43740</v>
      </c>
      <c r="I1438">
        <v>10.62</v>
      </c>
      <c r="K1438" s="19"/>
      <c r="N1438" s="19"/>
    </row>
    <row r="1439" spans="2:14" x14ac:dyDescent="0.25">
      <c r="B1439" s="19">
        <v>43741</v>
      </c>
      <c r="C1439">
        <v>44.91</v>
      </c>
      <c r="E1439" s="19">
        <v>43741</v>
      </c>
      <c r="F1439">
        <v>42.115000000000002</v>
      </c>
      <c r="H1439" s="19">
        <v>43741</v>
      </c>
      <c r="I1439">
        <v>10.525</v>
      </c>
      <c r="K1439" s="19"/>
      <c r="N1439" s="19"/>
    </row>
    <row r="1440" spans="2:14" x14ac:dyDescent="0.25">
      <c r="B1440" s="19">
        <v>43742</v>
      </c>
      <c r="C1440">
        <v>45</v>
      </c>
      <c r="E1440" s="19">
        <v>43742</v>
      </c>
      <c r="F1440">
        <v>42.284999999999997</v>
      </c>
      <c r="H1440" s="19">
        <v>43742</v>
      </c>
      <c r="I1440">
        <v>10.574999999999999</v>
      </c>
      <c r="K1440" s="19"/>
      <c r="N1440" s="19"/>
    </row>
    <row r="1441" spans="2:14" x14ac:dyDescent="0.25">
      <c r="B1441" s="19">
        <v>43745</v>
      </c>
      <c r="C1441">
        <v>45.215000000000003</v>
      </c>
      <c r="E1441" s="19">
        <v>43745</v>
      </c>
      <c r="F1441">
        <v>42.615000000000002</v>
      </c>
      <c r="H1441" s="19">
        <v>43745</v>
      </c>
      <c r="I1441">
        <v>10.65</v>
      </c>
      <c r="K1441" s="19"/>
      <c r="N1441" s="19"/>
    </row>
    <row r="1442" spans="2:14" x14ac:dyDescent="0.25">
      <c r="B1442" s="19">
        <v>43746</v>
      </c>
      <c r="C1442">
        <v>44.47</v>
      </c>
      <c r="E1442" s="19">
        <v>43746</v>
      </c>
      <c r="F1442">
        <v>42.325000000000003</v>
      </c>
      <c r="H1442" s="19">
        <v>43746</v>
      </c>
      <c r="I1442">
        <v>10.484999999999999</v>
      </c>
      <c r="K1442" s="19"/>
      <c r="N1442" s="19"/>
    </row>
    <row r="1443" spans="2:14" x14ac:dyDescent="0.25">
      <c r="B1443" s="19">
        <v>43747</v>
      </c>
      <c r="C1443">
        <v>44.88</v>
      </c>
      <c r="E1443" s="19">
        <v>43747</v>
      </c>
      <c r="F1443">
        <v>42.49</v>
      </c>
      <c r="H1443" s="19">
        <v>43747</v>
      </c>
      <c r="I1443">
        <v>10.49</v>
      </c>
      <c r="K1443" s="19"/>
      <c r="N1443" s="19"/>
    </row>
    <row r="1444" spans="2:14" x14ac:dyDescent="0.25">
      <c r="B1444" s="19">
        <v>43748</v>
      </c>
      <c r="C1444">
        <v>45.295000000000002</v>
      </c>
      <c r="E1444" s="19">
        <v>43748</v>
      </c>
      <c r="F1444">
        <v>43.69</v>
      </c>
      <c r="H1444" s="19">
        <v>43748</v>
      </c>
      <c r="I1444">
        <v>10.734999999999999</v>
      </c>
      <c r="K1444" s="19"/>
      <c r="N1444" s="19"/>
    </row>
    <row r="1445" spans="2:14" x14ac:dyDescent="0.25">
      <c r="B1445" s="19">
        <v>43749</v>
      </c>
      <c r="C1445">
        <v>46.414999999999999</v>
      </c>
      <c r="E1445" s="19">
        <v>43749</v>
      </c>
      <c r="F1445">
        <v>45.75</v>
      </c>
      <c r="H1445" s="19">
        <v>43749</v>
      </c>
      <c r="I1445">
        <v>11.22</v>
      </c>
      <c r="K1445" s="19"/>
      <c r="N1445" s="19"/>
    </row>
    <row r="1446" spans="2:14" x14ac:dyDescent="0.25">
      <c r="B1446" s="19">
        <v>43752</v>
      </c>
      <c r="C1446">
        <v>45.84</v>
      </c>
      <c r="E1446" s="19">
        <v>43752</v>
      </c>
      <c r="F1446">
        <v>45.39</v>
      </c>
      <c r="H1446" s="19">
        <v>43752</v>
      </c>
      <c r="I1446">
        <v>11.244999999999999</v>
      </c>
      <c r="K1446" s="19"/>
      <c r="N1446" s="19"/>
    </row>
    <row r="1447" spans="2:14" x14ac:dyDescent="0.25">
      <c r="B1447" s="19">
        <v>43753</v>
      </c>
      <c r="C1447">
        <v>46.454999999999998</v>
      </c>
      <c r="E1447" s="19">
        <v>43753</v>
      </c>
      <c r="F1447">
        <v>47.04</v>
      </c>
      <c r="H1447" s="19">
        <v>43753</v>
      </c>
      <c r="I1447">
        <v>11.414999999999999</v>
      </c>
      <c r="K1447" s="19"/>
      <c r="N1447" s="19"/>
    </row>
    <row r="1448" spans="2:14" x14ac:dyDescent="0.25">
      <c r="B1448" s="19">
        <v>43754</v>
      </c>
      <c r="C1448">
        <v>46.405000000000001</v>
      </c>
      <c r="E1448" s="19">
        <v>43754</v>
      </c>
      <c r="F1448">
        <v>47.25</v>
      </c>
      <c r="H1448" s="19">
        <v>43754</v>
      </c>
      <c r="I1448">
        <v>11.64</v>
      </c>
      <c r="K1448" s="19"/>
      <c r="N1448" s="19"/>
    </row>
    <row r="1449" spans="2:14" x14ac:dyDescent="0.25">
      <c r="B1449" s="19">
        <v>43755</v>
      </c>
      <c r="C1449">
        <v>46.215000000000003</v>
      </c>
      <c r="E1449" s="19">
        <v>43755</v>
      </c>
      <c r="F1449">
        <v>46.98</v>
      </c>
      <c r="H1449" s="19">
        <v>43755</v>
      </c>
      <c r="I1449">
        <v>11.545</v>
      </c>
      <c r="K1449" s="19"/>
      <c r="N1449" s="19"/>
    </row>
    <row r="1450" spans="2:14" x14ac:dyDescent="0.25">
      <c r="B1450" s="19">
        <v>43756</v>
      </c>
      <c r="C1450">
        <v>46.335000000000001</v>
      </c>
      <c r="E1450" s="19">
        <v>43756</v>
      </c>
      <c r="F1450">
        <v>46.99</v>
      </c>
      <c r="H1450" s="19">
        <v>43756</v>
      </c>
      <c r="I1450">
        <v>11.545</v>
      </c>
      <c r="K1450" s="19"/>
      <c r="N1450" s="19"/>
    </row>
    <row r="1451" spans="2:14" x14ac:dyDescent="0.25">
      <c r="B1451" s="19">
        <v>43759</v>
      </c>
      <c r="C1451">
        <v>46.48</v>
      </c>
      <c r="E1451" s="19">
        <v>43759</v>
      </c>
      <c r="F1451">
        <v>47.81</v>
      </c>
      <c r="H1451" s="19">
        <v>43759</v>
      </c>
      <c r="I1451">
        <v>11.79</v>
      </c>
      <c r="K1451" s="19"/>
      <c r="N1451" s="19"/>
    </row>
    <row r="1452" spans="2:14" x14ac:dyDescent="0.25">
      <c r="B1452" s="19">
        <v>43760</v>
      </c>
      <c r="C1452">
        <v>47.185000000000002</v>
      </c>
      <c r="E1452" s="19">
        <v>43760</v>
      </c>
      <c r="F1452">
        <v>47.82</v>
      </c>
      <c r="H1452" s="19">
        <v>43760</v>
      </c>
      <c r="I1452">
        <v>11.82</v>
      </c>
      <c r="K1452" s="19"/>
      <c r="N1452" s="19"/>
    </row>
    <row r="1453" spans="2:14" x14ac:dyDescent="0.25">
      <c r="B1453" s="19">
        <v>43761</v>
      </c>
      <c r="C1453">
        <v>47.32</v>
      </c>
      <c r="E1453" s="19">
        <v>43761</v>
      </c>
      <c r="F1453">
        <v>47.954999999999998</v>
      </c>
      <c r="H1453" s="19">
        <v>43761</v>
      </c>
      <c r="I1453">
        <v>11.82</v>
      </c>
      <c r="K1453" s="19"/>
      <c r="N1453" s="19"/>
    </row>
    <row r="1454" spans="2:14" x14ac:dyDescent="0.25">
      <c r="B1454" s="19">
        <v>43762</v>
      </c>
      <c r="C1454">
        <v>47.5</v>
      </c>
      <c r="E1454" s="19">
        <v>43762</v>
      </c>
      <c r="F1454">
        <v>47.825000000000003</v>
      </c>
      <c r="H1454" s="19">
        <v>43762</v>
      </c>
      <c r="I1454">
        <v>11.815</v>
      </c>
      <c r="K1454" s="19"/>
      <c r="N1454" s="19"/>
    </row>
    <row r="1455" spans="2:14" x14ac:dyDescent="0.25">
      <c r="B1455" s="19">
        <v>43763</v>
      </c>
      <c r="C1455">
        <v>47.695</v>
      </c>
      <c r="E1455" s="19">
        <v>43763</v>
      </c>
      <c r="F1455">
        <v>47.69</v>
      </c>
      <c r="H1455" s="19">
        <v>43763</v>
      </c>
      <c r="I1455">
        <v>11.98</v>
      </c>
      <c r="K1455" s="19"/>
      <c r="N1455" s="19"/>
    </row>
    <row r="1456" spans="2:14" x14ac:dyDescent="0.25">
      <c r="B1456" s="19">
        <v>43766</v>
      </c>
      <c r="C1456">
        <v>47.85</v>
      </c>
      <c r="E1456" s="19">
        <v>43766</v>
      </c>
      <c r="F1456">
        <v>48.03</v>
      </c>
      <c r="H1456" s="19">
        <v>43766</v>
      </c>
      <c r="I1456">
        <v>12.005000000000001</v>
      </c>
      <c r="K1456" s="19"/>
      <c r="N1456" s="19"/>
    </row>
    <row r="1457" spans="2:14" x14ac:dyDescent="0.25">
      <c r="B1457" s="19">
        <v>43767</v>
      </c>
      <c r="C1457">
        <v>47.67</v>
      </c>
      <c r="E1457" s="19">
        <v>43767</v>
      </c>
      <c r="F1457">
        <v>48</v>
      </c>
      <c r="H1457" s="19">
        <v>43767</v>
      </c>
      <c r="I1457">
        <v>11.95</v>
      </c>
      <c r="K1457" s="19"/>
      <c r="N1457" s="19"/>
    </row>
    <row r="1458" spans="2:14" x14ac:dyDescent="0.25">
      <c r="B1458" s="19">
        <v>43768</v>
      </c>
      <c r="C1458">
        <v>47.664999999999999</v>
      </c>
      <c r="E1458" s="19">
        <v>43768</v>
      </c>
      <c r="F1458">
        <v>46.93</v>
      </c>
      <c r="H1458" s="19">
        <v>43768</v>
      </c>
      <c r="I1458">
        <v>11.695</v>
      </c>
      <c r="K1458" s="19"/>
      <c r="N1458" s="19"/>
    </row>
    <row r="1459" spans="2:14" x14ac:dyDescent="0.25">
      <c r="B1459" s="19">
        <v>43769</v>
      </c>
      <c r="C1459">
        <v>47.134999999999998</v>
      </c>
      <c r="E1459" s="19">
        <v>43769</v>
      </c>
      <c r="F1459">
        <v>46.81</v>
      </c>
      <c r="H1459" s="19">
        <v>43769</v>
      </c>
      <c r="I1459">
        <v>11.685</v>
      </c>
      <c r="K1459" s="19"/>
      <c r="N1459" s="19"/>
    </row>
    <row r="1460" spans="2:14" x14ac:dyDescent="0.25">
      <c r="B1460" s="19">
        <v>43770</v>
      </c>
      <c r="C1460">
        <v>47.75</v>
      </c>
      <c r="E1460" s="19">
        <v>43770</v>
      </c>
      <c r="F1460">
        <v>47.17</v>
      </c>
      <c r="H1460" s="19">
        <v>43770</v>
      </c>
      <c r="I1460">
        <v>11.77</v>
      </c>
      <c r="K1460" s="19"/>
      <c r="N1460" s="19"/>
    </row>
    <row r="1461" spans="2:14" x14ac:dyDescent="0.25">
      <c r="B1461" s="19">
        <v>43773</v>
      </c>
      <c r="C1461">
        <v>48.515000000000001</v>
      </c>
      <c r="E1461" s="19">
        <v>43773</v>
      </c>
      <c r="F1461">
        <v>48.45</v>
      </c>
      <c r="H1461" s="19">
        <v>43773</v>
      </c>
      <c r="I1461">
        <v>11.99</v>
      </c>
      <c r="K1461" s="19"/>
      <c r="N1461" s="19"/>
    </row>
    <row r="1462" spans="2:14" x14ac:dyDescent="0.25">
      <c r="B1462" s="19">
        <v>43774</v>
      </c>
      <c r="C1462">
        <v>49.305</v>
      </c>
      <c r="E1462" s="19">
        <v>43774</v>
      </c>
      <c r="F1462">
        <v>49.1</v>
      </c>
      <c r="H1462" s="19">
        <v>43774</v>
      </c>
      <c r="I1462">
        <v>12.065</v>
      </c>
      <c r="K1462" s="19"/>
      <c r="N1462" s="19"/>
    </row>
    <row r="1463" spans="2:14" x14ac:dyDescent="0.25">
      <c r="B1463" s="19">
        <v>43775</v>
      </c>
      <c r="C1463">
        <v>49.325000000000003</v>
      </c>
      <c r="E1463" s="19">
        <v>43775</v>
      </c>
      <c r="F1463">
        <v>49.87</v>
      </c>
      <c r="H1463" s="19">
        <v>43775</v>
      </c>
      <c r="I1463">
        <v>12.16</v>
      </c>
      <c r="K1463" s="19"/>
      <c r="N1463" s="19"/>
    </row>
    <row r="1464" spans="2:14" x14ac:dyDescent="0.25">
      <c r="B1464" s="19">
        <v>43776</v>
      </c>
      <c r="C1464">
        <v>49.59</v>
      </c>
      <c r="E1464" s="19">
        <v>43776</v>
      </c>
      <c r="F1464">
        <v>51.34</v>
      </c>
      <c r="H1464" s="19">
        <v>43776</v>
      </c>
      <c r="I1464">
        <v>12.57</v>
      </c>
      <c r="K1464" s="19"/>
      <c r="N1464" s="19"/>
    </row>
    <row r="1465" spans="2:14" x14ac:dyDescent="0.25">
      <c r="B1465" s="19">
        <v>43777</v>
      </c>
      <c r="C1465">
        <v>49.295000000000002</v>
      </c>
      <c r="E1465" s="19">
        <v>43777</v>
      </c>
      <c r="F1465">
        <v>50.71</v>
      </c>
      <c r="H1465" s="19">
        <v>43777</v>
      </c>
      <c r="I1465">
        <v>12.28</v>
      </c>
      <c r="K1465" s="19"/>
      <c r="N1465" s="19"/>
    </row>
    <row r="1466" spans="2:14" x14ac:dyDescent="0.25">
      <c r="B1466" s="19">
        <v>43780</v>
      </c>
      <c r="C1466">
        <v>49.41</v>
      </c>
      <c r="E1466" s="19">
        <v>43780</v>
      </c>
      <c r="F1466">
        <v>50.52</v>
      </c>
      <c r="H1466" s="19">
        <v>43780</v>
      </c>
      <c r="I1466">
        <v>12.414999999999999</v>
      </c>
      <c r="K1466" s="19"/>
      <c r="N1466" s="19"/>
    </row>
    <row r="1467" spans="2:14" x14ac:dyDescent="0.25">
      <c r="B1467" s="19">
        <v>43781</v>
      </c>
      <c r="C1467">
        <v>49.445</v>
      </c>
      <c r="E1467" s="19">
        <v>43781</v>
      </c>
      <c r="F1467">
        <v>50.87</v>
      </c>
      <c r="H1467" s="19">
        <v>43781</v>
      </c>
      <c r="I1467">
        <v>12.73</v>
      </c>
      <c r="K1467" s="19"/>
      <c r="N1467" s="19"/>
    </row>
    <row r="1468" spans="2:14" x14ac:dyDescent="0.25">
      <c r="B1468" s="19">
        <v>43782</v>
      </c>
      <c r="C1468">
        <v>49.41</v>
      </c>
      <c r="E1468" s="19">
        <v>43782</v>
      </c>
      <c r="F1468">
        <v>50.15</v>
      </c>
      <c r="H1468" s="19">
        <v>43782</v>
      </c>
      <c r="I1468">
        <v>12.484999999999999</v>
      </c>
      <c r="K1468" s="19"/>
      <c r="N1468" s="19"/>
    </row>
    <row r="1469" spans="2:14" x14ac:dyDescent="0.25">
      <c r="B1469" s="19">
        <v>43783</v>
      </c>
      <c r="C1469">
        <v>49.08</v>
      </c>
      <c r="E1469" s="19">
        <v>43783</v>
      </c>
      <c r="F1469">
        <v>50.34</v>
      </c>
      <c r="H1469" s="19">
        <v>43783</v>
      </c>
      <c r="I1469">
        <v>12.545</v>
      </c>
      <c r="K1469" s="19"/>
      <c r="N1469" s="19"/>
    </row>
    <row r="1470" spans="2:14" x14ac:dyDescent="0.25">
      <c r="B1470" s="19">
        <v>43784</v>
      </c>
      <c r="C1470">
        <v>49.274999999999999</v>
      </c>
      <c r="E1470" s="19">
        <v>43784</v>
      </c>
      <c r="F1470">
        <v>50.63</v>
      </c>
      <c r="H1470" s="19">
        <v>43784</v>
      </c>
      <c r="I1470">
        <v>12.6</v>
      </c>
      <c r="K1470" s="19"/>
      <c r="N1470" s="19"/>
    </row>
    <row r="1471" spans="2:14" x14ac:dyDescent="0.25">
      <c r="B1471" s="19">
        <v>43787</v>
      </c>
      <c r="C1471">
        <v>49.024999999999999</v>
      </c>
      <c r="E1471" s="19">
        <v>43787</v>
      </c>
      <c r="F1471">
        <v>50.59</v>
      </c>
      <c r="H1471" s="19">
        <v>43787</v>
      </c>
      <c r="I1471">
        <v>12.56</v>
      </c>
      <c r="K1471" s="19"/>
      <c r="N1471" s="19"/>
    </row>
    <row r="1472" spans="2:14" x14ac:dyDescent="0.25">
      <c r="B1472" s="19">
        <v>43788</v>
      </c>
      <c r="C1472">
        <v>48.86</v>
      </c>
      <c r="E1472" s="19">
        <v>43788</v>
      </c>
      <c r="F1472">
        <v>50.75</v>
      </c>
      <c r="H1472" s="19">
        <v>43788</v>
      </c>
      <c r="I1472">
        <v>12.56</v>
      </c>
      <c r="K1472" s="19"/>
      <c r="N1472" s="19"/>
    </row>
    <row r="1473" spans="2:14" x14ac:dyDescent="0.25">
      <c r="B1473" s="19">
        <v>43789</v>
      </c>
      <c r="C1473">
        <v>48.76</v>
      </c>
      <c r="E1473" s="19">
        <v>43789</v>
      </c>
      <c r="F1473">
        <v>51.1</v>
      </c>
      <c r="H1473" s="19">
        <v>43789</v>
      </c>
      <c r="I1473">
        <v>12.59</v>
      </c>
      <c r="K1473" s="19"/>
      <c r="N1473" s="19"/>
    </row>
    <row r="1474" spans="2:14" x14ac:dyDescent="0.25">
      <c r="B1474" s="19">
        <v>43790</v>
      </c>
      <c r="C1474">
        <v>48.854999999999997</v>
      </c>
      <c r="E1474" s="19">
        <v>43790</v>
      </c>
      <c r="F1474">
        <v>51.5</v>
      </c>
      <c r="H1474" s="19">
        <v>43790</v>
      </c>
      <c r="I1474">
        <v>12.57</v>
      </c>
      <c r="K1474" s="19"/>
      <c r="N1474" s="19"/>
    </row>
    <row r="1475" spans="2:14" x14ac:dyDescent="0.25">
      <c r="B1475" s="19">
        <v>43791</v>
      </c>
      <c r="C1475">
        <v>49.104999999999997</v>
      </c>
      <c r="E1475" s="19">
        <v>43791</v>
      </c>
      <c r="F1475">
        <v>51.55</v>
      </c>
      <c r="H1475" s="19">
        <v>43791</v>
      </c>
      <c r="I1475">
        <v>12.654999999999999</v>
      </c>
      <c r="K1475" s="19"/>
      <c r="N1475" s="19"/>
    </row>
    <row r="1476" spans="2:14" x14ac:dyDescent="0.25">
      <c r="B1476" s="19">
        <v>43794</v>
      </c>
      <c r="C1476">
        <v>48.935000000000002</v>
      </c>
      <c r="E1476" s="19">
        <v>43794</v>
      </c>
      <c r="F1476">
        <v>51.47</v>
      </c>
      <c r="H1476" s="19">
        <v>43794</v>
      </c>
      <c r="I1476">
        <v>12.64</v>
      </c>
      <c r="K1476" s="19"/>
      <c r="N1476" s="19"/>
    </row>
    <row r="1477" spans="2:14" x14ac:dyDescent="0.25">
      <c r="B1477" s="19">
        <v>43795</v>
      </c>
      <c r="C1477">
        <v>48.125</v>
      </c>
      <c r="E1477" s="19">
        <v>43795</v>
      </c>
      <c r="F1477">
        <v>51.03</v>
      </c>
      <c r="H1477" s="19">
        <v>43795</v>
      </c>
      <c r="I1477">
        <v>12.595000000000001</v>
      </c>
      <c r="K1477" s="19"/>
      <c r="N1477" s="19"/>
    </row>
    <row r="1478" spans="2:14" x14ac:dyDescent="0.25">
      <c r="B1478" s="19">
        <v>43796</v>
      </c>
      <c r="C1478">
        <v>48.034999999999997</v>
      </c>
      <c r="E1478" s="19">
        <v>43796</v>
      </c>
      <c r="F1478">
        <v>51.36</v>
      </c>
      <c r="H1478" s="19">
        <v>43796</v>
      </c>
      <c r="I1478">
        <v>12.654999999999999</v>
      </c>
      <c r="K1478" s="19"/>
      <c r="N1478" s="19"/>
    </row>
    <row r="1479" spans="2:14" x14ac:dyDescent="0.25">
      <c r="B1479" s="19">
        <v>43797</v>
      </c>
      <c r="C1479">
        <v>47.99</v>
      </c>
      <c r="E1479" s="19">
        <v>43797</v>
      </c>
      <c r="F1479">
        <v>51.04</v>
      </c>
      <c r="H1479" s="19">
        <v>43797</v>
      </c>
      <c r="I1479">
        <v>12.484999999999999</v>
      </c>
      <c r="K1479" s="19"/>
      <c r="N1479" s="19"/>
    </row>
    <row r="1480" spans="2:14" x14ac:dyDescent="0.25">
      <c r="B1480" s="19">
        <v>43798</v>
      </c>
      <c r="C1480">
        <v>47.64</v>
      </c>
      <c r="E1480" s="19">
        <v>43798</v>
      </c>
      <c r="F1480">
        <v>50.97</v>
      </c>
      <c r="H1480" s="19">
        <v>43798</v>
      </c>
      <c r="I1480">
        <v>12.414999999999999</v>
      </c>
      <c r="K1480" s="19"/>
      <c r="N1480" s="19"/>
    </row>
    <row r="1481" spans="2:14" x14ac:dyDescent="0.25">
      <c r="B1481" s="19">
        <v>43801</v>
      </c>
      <c r="C1481">
        <v>47.08</v>
      </c>
      <c r="E1481" s="19">
        <v>43801</v>
      </c>
      <c r="F1481">
        <v>50.35</v>
      </c>
      <c r="H1481" s="19">
        <v>43801</v>
      </c>
      <c r="I1481">
        <v>12.34</v>
      </c>
      <c r="K1481" s="19"/>
      <c r="N1481" s="19"/>
    </row>
    <row r="1482" spans="2:14" x14ac:dyDescent="0.25">
      <c r="B1482" s="19">
        <v>43802</v>
      </c>
      <c r="C1482">
        <v>46.634999999999998</v>
      </c>
      <c r="E1482" s="19">
        <v>43802</v>
      </c>
      <c r="F1482">
        <v>49.5</v>
      </c>
      <c r="H1482" s="19">
        <v>43802</v>
      </c>
      <c r="I1482">
        <v>12.125</v>
      </c>
      <c r="K1482" s="19"/>
      <c r="N1482" s="19"/>
    </row>
    <row r="1483" spans="2:14" x14ac:dyDescent="0.25">
      <c r="B1483" s="19">
        <v>43803</v>
      </c>
      <c r="C1483">
        <v>47.21</v>
      </c>
      <c r="E1483" s="19">
        <v>43803</v>
      </c>
      <c r="F1483">
        <v>50.29</v>
      </c>
      <c r="H1483" s="19">
        <v>43803</v>
      </c>
      <c r="I1483">
        <v>12.36</v>
      </c>
      <c r="K1483" s="19"/>
      <c r="N1483" s="19"/>
    </row>
    <row r="1484" spans="2:14" x14ac:dyDescent="0.25">
      <c r="B1484" s="19">
        <v>43804</v>
      </c>
      <c r="C1484">
        <v>47.13</v>
      </c>
      <c r="E1484" s="19">
        <v>43804</v>
      </c>
      <c r="F1484">
        <v>50.26</v>
      </c>
      <c r="H1484" s="19">
        <v>43804</v>
      </c>
      <c r="I1484">
        <v>12.4</v>
      </c>
      <c r="K1484" s="19"/>
      <c r="N1484" s="19"/>
    </row>
    <row r="1485" spans="2:14" x14ac:dyDescent="0.25">
      <c r="B1485" s="19">
        <v>43805</v>
      </c>
      <c r="C1485">
        <v>47.954999999999998</v>
      </c>
      <c r="E1485" s="19">
        <v>43805</v>
      </c>
      <c r="F1485">
        <v>50.94</v>
      </c>
      <c r="H1485" s="19">
        <v>43805</v>
      </c>
      <c r="I1485">
        <v>12.574999999999999</v>
      </c>
      <c r="K1485" s="19"/>
      <c r="N1485" s="19"/>
    </row>
    <row r="1486" spans="2:14" x14ac:dyDescent="0.25">
      <c r="B1486" s="19">
        <v>43808</v>
      </c>
      <c r="C1486">
        <v>47.585000000000001</v>
      </c>
      <c r="E1486" s="19">
        <v>43808</v>
      </c>
      <c r="F1486">
        <v>50.77</v>
      </c>
      <c r="H1486" s="19">
        <v>43808</v>
      </c>
      <c r="I1486">
        <v>12.61</v>
      </c>
      <c r="K1486" s="19"/>
      <c r="N1486" s="19"/>
    </row>
    <row r="1487" spans="2:14" x14ac:dyDescent="0.25">
      <c r="B1487" s="19">
        <v>43809</v>
      </c>
      <c r="C1487">
        <v>47.645000000000003</v>
      </c>
      <c r="E1487" s="19">
        <v>43809</v>
      </c>
      <c r="F1487">
        <v>50.27</v>
      </c>
      <c r="H1487" s="19">
        <v>43809</v>
      </c>
      <c r="I1487">
        <v>12.62</v>
      </c>
      <c r="K1487" s="19"/>
      <c r="N1487" s="19"/>
    </row>
    <row r="1488" spans="2:14" x14ac:dyDescent="0.25">
      <c r="B1488" s="19">
        <v>43810</v>
      </c>
      <c r="C1488">
        <v>47.395000000000003</v>
      </c>
      <c r="E1488" s="19">
        <v>43810</v>
      </c>
      <c r="F1488">
        <v>50.4</v>
      </c>
      <c r="H1488" s="19">
        <v>43810</v>
      </c>
      <c r="I1488">
        <v>12.664999999999999</v>
      </c>
      <c r="K1488" s="19"/>
      <c r="N1488" s="19"/>
    </row>
    <row r="1489" spans="2:14" x14ac:dyDescent="0.25">
      <c r="B1489" s="19">
        <v>43811</v>
      </c>
      <c r="C1489">
        <v>47.625</v>
      </c>
      <c r="E1489" s="19">
        <v>43811</v>
      </c>
      <c r="F1489">
        <v>51.65</v>
      </c>
      <c r="H1489" s="19">
        <v>43811</v>
      </c>
      <c r="I1489">
        <v>12.925000000000001</v>
      </c>
      <c r="K1489" s="19"/>
      <c r="N1489" s="19"/>
    </row>
    <row r="1490" spans="2:14" x14ac:dyDescent="0.25">
      <c r="B1490" s="19">
        <v>43812</v>
      </c>
      <c r="C1490">
        <v>47.82</v>
      </c>
      <c r="E1490" s="19">
        <v>43812</v>
      </c>
      <c r="F1490">
        <v>52.05</v>
      </c>
      <c r="H1490" s="19">
        <v>43812</v>
      </c>
      <c r="I1490">
        <v>13.055</v>
      </c>
      <c r="K1490" s="19"/>
      <c r="N1490" s="19"/>
    </row>
    <row r="1491" spans="2:14" x14ac:dyDescent="0.25">
      <c r="B1491" s="19">
        <v>43815</v>
      </c>
      <c r="C1491">
        <v>48.28</v>
      </c>
      <c r="E1491" s="19">
        <v>43815</v>
      </c>
      <c r="F1491">
        <v>53.2</v>
      </c>
      <c r="H1491" s="19">
        <v>43815</v>
      </c>
      <c r="I1491">
        <v>13.15</v>
      </c>
      <c r="K1491" s="19"/>
      <c r="N1491" s="19"/>
    </row>
    <row r="1492" spans="2:14" x14ac:dyDescent="0.25">
      <c r="B1492" s="19">
        <v>43816</v>
      </c>
      <c r="C1492">
        <v>48.784999999999997</v>
      </c>
      <c r="E1492" s="19">
        <v>43816</v>
      </c>
      <c r="F1492">
        <v>53.08</v>
      </c>
      <c r="H1492" s="19">
        <v>43816</v>
      </c>
      <c r="I1492">
        <v>13.125</v>
      </c>
      <c r="K1492" s="19"/>
      <c r="N1492" s="19"/>
    </row>
    <row r="1493" spans="2:14" x14ac:dyDescent="0.25">
      <c r="B1493" s="19">
        <v>43817</v>
      </c>
      <c r="C1493">
        <v>48.61</v>
      </c>
      <c r="E1493" s="19">
        <v>43817</v>
      </c>
      <c r="F1493">
        <v>53.27</v>
      </c>
      <c r="H1493" s="19">
        <v>43817</v>
      </c>
      <c r="I1493">
        <v>13.16</v>
      </c>
      <c r="K1493" s="19"/>
      <c r="N1493" s="19"/>
    </row>
    <row r="1494" spans="2:14" x14ac:dyDescent="0.25">
      <c r="B1494" s="19">
        <v>43818</v>
      </c>
      <c r="C1494">
        <v>49</v>
      </c>
      <c r="E1494" s="19">
        <v>43818</v>
      </c>
      <c r="F1494">
        <v>53.51</v>
      </c>
      <c r="H1494" s="19">
        <v>43818</v>
      </c>
      <c r="I1494">
        <v>13.15</v>
      </c>
      <c r="K1494" s="19"/>
      <c r="N1494" s="19"/>
    </row>
    <row r="1495" spans="2:14" x14ac:dyDescent="0.25">
      <c r="B1495" s="19">
        <v>43819</v>
      </c>
      <c r="C1495">
        <v>49.07</v>
      </c>
      <c r="E1495" s="19">
        <v>43819</v>
      </c>
      <c r="F1495">
        <v>53.56</v>
      </c>
      <c r="H1495" s="19">
        <v>43819</v>
      </c>
      <c r="I1495">
        <v>13.065</v>
      </c>
      <c r="K1495" s="19"/>
      <c r="N1495" s="19"/>
    </row>
    <row r="1496" spans="2:14" x14ac:dyDescent="0.25">
      <c r="B1496" s="19">
        <v>43822</v>
      </c>
      <c r="C1496">
        <v>49.354999999999997</v>
      </c>
      <c r="E1496" s="19">
        <v>43822</v>
      </c>
      <c r="F1496">
        <v>53.11</v>
      </c>
      <c r="H1496" s="19">
        <v>43822</v>
      </c>
      <c r="I1496">
        <v>13.01</v>
      </c>
      <c r="K1496" s="19"/>
      <c r="N1496" s="19"/>
    </row>
    <row r="1497" spans="2:14" x14ac:dyDescent="0.25">
      <c r="B1497" s="19">
        <v>43823</v>
      </c>
      <c r="C1497">
        <v>49.475000000000001</v>
      </c>
      <c r="E1497" s="19">
        <v>43823</v>
      </c>
      <c r="F1497">
        <v>52.98</v>
      </c>
      <c r="H1497" s="19">
        <v>43823</v>
      </c>
      <c r="I1497">
        <v>13.015000000000001</v>
      </c>
      <c r="K1497" s="19"/>
      <c r="N1497" s="19"/>
    </row>
    <row r="1498" spans="2:14" x14ac:dyDescent="0.25">
      <c r="B1498" s="19">
        <v>43826</v>
      </c>
      <c r="C1498">
        <v>49.29</v>
      </c>
      <c r="E1498" s="19">
        <v>43826</v>
      </c>
      <c r="F1498">
        <v>52.97</v>
      </c>
      <c r="H1498" s="19">
        <v>43826</v>
      </c>
      <c r="I1498">
        <v>13.02</v>
      </c>
      <c r="K1498" s="19"/>
      <c r="N1498" s="19"/>
    </row>
    <row r="1499" spans="2:14" x14ac:dyDescent="0.25">
      <c r="B1499" s="19">
        <v>43829</v>
      </c>
      <c r="C1499">
        <v>49.185000000000002</v>
      </c>
      <c r="E1499" s="19">
        <v>43829</v>
      </c>
      <c r="F1499">
        <v>52.73</v>
      </c>
      <c r="H1499" s="19">
        <v>43829</v>
      </c>
      <c r="I1499">
        <v>12.935</v>
      </c>
      <c r="K1499" s="19"/>
      <c r="N1499" s="19"/>
    </row>
    <row r="1500" spans="2:14" x14ac:dyDescent="0.25">
      <c r="B1500" s="19">
        <v>43830</v>
      </c>
      <c r="C1500">
        <v>49.2</v>
      </c>
      <c r="E1500" s="19">
        <v>43830</v>
      </c>
      <c r="F1500">
        <v>52.83</v>
      </c>
      <c r="H1500" s="19">
        <v>43830</v>
      </c>
      <c r="I1500">
        <v>12.925000000000001</v>
      </c>
      <c r="K1500" s="19"/>
      <c r="N1500" s="19"/>
    </row>
    <row r="1501" spans="2:14" x14ac:dyDescent="0.25">
      <c r="B1501" s="19">
        <v>43832</v>
      </c>
      <c r="C1501">
        <v>49.814999999999998</v>
      </c>
      <c r="E1501" s="19">
        <v>43832</v>
      </c>
      <c r="F1501">
        <v>53.58</v>
      </c>
      <c r="H1501" s="19">
        <v>43832</v>
      </c>
      <c r="I1501">
        <v>13.185</v>
      </c>
      <c r="K1501" s="19"/>
      <c r="N1501" s="19"/>
    </row>
    <row r="1502" spans="2:14" x14ac:dyDescent="0.25">
      <c r="B1502" s="19">
        <v>43833</v>
      </c>
      <c r="C1502">
        <v>50.38</v>
      </c>
      <c r="E1502" s="19">
        <v>43833</v>
      </c>
      <c r="F1502">
        <v>52.94</v>
      </c>
      <c r="H1502" s="19">
        <v>43833</v>
      </c>
      <c r="I1502">
        <v>13.105</v>
      </c>
      <c r="K1502" s="19"/>
      <c r="N1502" s="19"/>
    </row>
    <row r="1503" spans="2:14" x14ac:dyDescent="0.25">
      <c r="B1503" s="19">
        <v>43836</v>
      </c>
      <c r="C1503">
        <v>50.44</v>
      </c>
      <c r="E1503" s="19">
        <v>43836</v>
      </c>
      <c r="F1503">
        <v>52.68</v>
      </c>
      <c r="H1503" s="19">
        <v>43836</v>
      </c>
      <c r="I1503">
        <v>12.975</v>
      </c>
      <c r="K1503" s="19"/>
      <c r="N1503" s="19"/>
    </row>
    <row r="1504" spans="2:14" x14ac:dyDescent="0.25">
      <c r="B1504" s="19">
        <v>43837</v>
      </c>
      <c r="C1504">
        <v>50.11</v>
      </c>
      <c r="E1504" s="19">
        <v>43837</v>
      </c>
      <c r="F1504">
        <v>52.66</v>
      </c>
      <c r="H1504" s="19">
        <v>43837</v>
      </c>
      <c r="I1504">
        <v>12.945</v>
      </c>
      <c r="K1504" s="19"/>
      <c r="N1504" s="19"/>
    </row>
    <row r="1505" spans="2:14" x14ac:dyDescent="0.25">
      <c r="B1505" s="19">
        <v>43838</v>
      </c>
      <c r="C1505">
        <v>50.24</v>
      </c>
      <c r="E1505" s="19">
        <v>43838</v>
      </c>
      <c r="F1505">
        <v>52.78</v>
      </c>
      <c r="H1505" s="19">
        <v>43838</v>
      </c>
      <c r="I1505">
        <v>13.005000000000001</v>
      </c>
      <c r="K1505" s="19"/>
      <c r="N1505" s="19"/>
    </row>
    <row r="1506" spans="2:14" x14ac:dyDescent="0.25">
      <c r="B1506" s="19">
        <v>43839</v>
      </c>
      <c r="C1506">
        <v>49.96</v>
      </c>
      <c r="E1506" s="19">
        <v>43839</v>
      </c>
      <c r="F1506">
        <v>52.4</v>
      </c>
      <c r="H1506" s="19">
        <v>43839</v>
      </c>
      <c r="I1506">
        <v>13.015000000000001</v>
      </c>
      <c r="K1506" s="19"/>
      <c r="N1506" s="19"/>
    </row>
    <row r="1507" spans="2:14" x14ac:dyDescent="0.25">
      <c r="B1507" s="19">
        <v>43840</v>
      </c>
      <c r="C1507">
        <v>49.784999999999997</v>
      </c>
      <c r="E1507" s="19">
        <v>43840</v>
      </c>
      <c r="F1507">
        <v>52.16</v>
      </c>
      <c r="H1507" s="19">
        <v>43840</v>
      </c>
      <c r="I1507">
        <v>12.875</v>
      </c>
      <c r="K1507" s="19"/>
      <c r="N1507" s="19"/>
    </row>
    <row r="1508" spans="2:14" x14ac:dyDescent="0.25">
      <c r="B1508" s="19">
        <v>43843</v>
      </c>
      <c r="C1508">
        <v>49.56</v>
      </c>
      <c r="E1508" s="19">
        <v>43843</v>
      </c>
      <c r="F1508">
        <v>51.93</v>
      </c>
      <c r="H1508" s="19">
        <v>43843</v>
      </c>
      <c r="I1508">
        <v>12.855</v>
      </c>
      <c r="K1508" s="19"/>
      <c r="N1508" s="19"/>
    </row>
    <row r="1509" spans="2:14" x14ac:dyDescent="0.25">
      <c r="B1509" s="19">
        <v>43844</v>
      </c>
      <c r="C1509">
        <v>49.16</v>
      </c>
      <c r="E1509" s="19">
        <v>43844</v>
      </c>
      <c r="F1509">
        <v>52.17</v>
      </c>
      <c r="H1509" s="19">
        <v>43844</v>
      </c>
      <c r="I1509">
        <v>12.92</v>
      </c>
      <c r="K1509" s="19"/>
      <c r="N1509" s="19"/>
    </row>
    <row r="1510" spans="2:14" x14ac:dyDescent="0.25">
      <c r="B1510" s="19">
        <v>43845</v>
      </c>
      <c r="C1510">
        <v>48.58</v>
      </c>
      <c r="E1510" s="19">
        <v>43845</v>
      </c>
      <c r="F1510">
        <v>50.96</v>
      </c>
      <c r="H1510" s="19">
        <v>43845</v>
      </c>
      <c r="I1510">
        <v>12.765000000000001</v>
      </c>
      <c r="K1510" s="19"/>
      <c r="N1510" s="19"/>
    </row>
    <row r="1511" spans="2:14" x14ac:dyDescent="0.25">
      <c r="B1511" s="19">
        <v>43846</v>
      </c>
      <c r="C1511">
        <v>48.79</v>
      </c>
      <c r="E1511" s="19">
        <v>43846</v>
      </c>
      <c r="F1511">
        <v>50.59</v>
      </c>
      <c r="H1511" s="19">
        <v>43846</v>
      </c>
      <c r="I1511">
        <v>12.775</v>
      </c>
      <c r="K1511" s="19"/>
      <c r="N1511" s="19"/>
    </row>
    <row r="1512" spans="2:14" x14ac:dyDescent="0.25">
      <c r="B1512" s="19">
        <v>43847</v>
      </c>
      <c r="C1512">
        <v>48.505000000000003</v>
      </c>
      <c r="E1512" s="19">
        <v>43847</v>
      </c>
      <c r="F1512">
        <v>50.75</v>
      </c>
      <c r="H1512" s="19">
        <v>43847</v>
      </c>
      <c r="I1512">
        <v>12.87</v>
      </c>
      <c r="K1512" s="19"/>
      <c r="N1512" s="19"/>
    </row>
    <row r="1513" spans="2:14" x14ac:dyDescent="0.25">
      <c r="B1513" s="19">
        <v>43850</v>
      </c>
      <c r="C1513">
        <v>48.57</v>
      </c>
      <c r="E1513" s="19">
        <v>43850</v>
      </c>
      <c r="F1513">
        <v>50.49</v>
      </c>
      <c r="H1513" s="19">
        <v>43850</v>
      </c>
      <c r="I1513">
        <v>12.81</v>
      </c>
      <c r="K1513" s="19"/>
      <c r="N1513" s="19"/>
    </row>
    <row r="1514" spans="2:14" x14ac:dyDescent="0.25">
      <c r="B1514" s="19">
        <v>43851</v>
      </c>
      <c r="C1514">
        <v>48.115000000000002</v>
      </c>
      <c r="E1514" s="19">
        <v>43851</v>
      </c>
      <c r="F1514">
        <v>50.21</v>
      </c>
      <c r="H1514" s="19">
        <v>43851</v>
      </c>
      <c r="I1514">
        <v>12.765000000000001</v>
      </c>
      <c r="K1514" s="19"/>
      <c r="N1514" s="19"/>
    </row>
    <row r="1515" spans="2:14" x14ac:dyDescent="0.25">
      <c r="B1515" s="19">
        <v>43852</v>
      </c>
      <c r="C1515">
        <v>47.8</v>
      </c>
      <c r="E1515" s="19">
        <v>43852</v>
      </c>
      <c r="F1515">
        <v>50.08</v>
      </c>
      <c r="H1515" s="19">
        <v>43852</v>
      </c>
      <c r="I1515">
        <v>12.63</v>
      </c>
      <c r="K1515" s="19"/>
      <c r="N1515" s="19"/>
    </row>
    <row r="1516" spans="2:14" x14ac:dyDescent="0.25">
      <c r="B1516" s="19">
        <v>43853</v>
      </c>
      <c r="C1516">
        <v>47.32</v>
      </c>
      <c r="E1516" s="19">
        <v>43853</v>
      </c>
      <c r="F1516">
        <v>49.954999999999998</v>
      </c>
      <c r="H1516" s="19">
        <v>43853</v>
      </c>
      <c r="I1516">
        <v>12.49</v>
      </c>
      <c r="K1516" s="19"/>
      <c r="N1516" s="19"/>
    </row>
    <row r="1517" spans="2:14" x14ac:dyDescent="0.25">
      <c r="B1517" s="19">
        <v>43854</v>
      </c>
      <c r="C1517">
        <v>47.384999999999998</v>
      </c>
      <c r="E1517" s="19">
        <v>43854</v>
      </c>
      <c r="F1517">
        <v>49.91</v>
      </c>
      <c r="H1517" s="19">
        <v>43854</v>
      </c>
      <c r="I1517">
        <v>12.574999999999999</v>
      </c>
      <c r="K1517" s="19"/>
      <c r="N1517" s="19"/>
    </row>
    <row r="1518" spans="2:14" x14ac:dyDescent="0.25">
      <c r="B1518" s="19">
        <v>43857</v>
      </c>
      <c r="C1518">
        <v>46.11</v>
      </c>
      <c r="E1518" s="19">
        <v>43857</v>
      </c>
      <c r="F1518">
        <v>48.87</v>
      </c>
      <c r="H1518" s="19">
        <v>43857</v>
      </c>
      <c r="I1518">
        <v>12.324999999999999</v>
      </c>
      <c r="K1518" s="19"/>
      <c r="N1518" s="19"/>
    </row>
    <row r="1519" spans="2:14" x14ac:dyDescent="0.25">
      <c r="B1519" s="19">
        <v>43858</v>
      </c>
      <c r="C1519">
        <v>46.475000000000001</v>
      </c>
      <c r="E1519" s="19">
        <v>43858</v>
      </c>
      <c r="F1519">
        <v>49.42</v>
      </c>
      <c r="H1519" s="19">
        <v>43858</v>
      </c>
      <c r="I1519">
        <v>12.46</v>
      </c>
      <c r="K1519" s="19"/>
      <c r="N1519" s="19"/>
    </row>
    <row r="1520" spans="2:14" x14ac:dyDescent="0.25">
      <c r="B1520" s="19">
        <v>43859</v>
      </c>
      <c r="C1520">
        <v>46.18</v>
      </c>
      <c r="E1520" s="19">
        <v>43859</v>
      </c>
      <c r="F1520">
        <v>49.505000000000003</v>
      </c>
      <c r="H1520" s="19">
        <v>43859</v>
      </c>
      <c r="I1520">
        <v>12.435</v>
      </c>
      <c r="K1520" s="19"/>
      <c r="N1520" s="19"/>
    </row>
    <row r="1521" spans="2:14" x14ac:dyDescent="0.25">
      <c r="B1521" s="19">
        <v>43860</v>
      </c>
      <c r="C1521">
        <v>44.92</v>
      </c>
      <c r="E1521" s="19">
        <v>43860</v>
      </c>
      <c r="F1521">
        <v>48.89</v>
      </c>
      <c r="H1521" s="19">
        <v>43860</v>
      </c>
      <c r="I1521">
        <v>12.28</v>
      </c>
      <c r="K1521" s="19"/>
      <c r="N1521" s="19"/>
    </row>
    <row r="1522" spans="2:14" x14ac:dyDescent="0.25">
      <c r="B1522" s="19">
        <v>43861</v>
      </c>
      <c r="C1522">
        <v>44.145000000000003</v>
      </c>
      <c r="E1522" s="19">
        <v>43861</v>
      </c>
      <c r="F1522">
        <v>48.045000000000002</v>
      </c>
      <c r="H1522" s="19">
        <v>43861</v>
      </c>
      <c r="I1522">
        <v>12.23</v>
      </c>
      <c r="K1522" s="19"/>
      <c r="N1522" s="19"/>
    </row>
    <row r="1523" spans="2:14" x14ac:dyDescent="0.25">
      <c r="B1523" s="19">
        <v>43864</v>
      </c>
      <c r="C1523">
        <v>43.76</v>
      </c>
      <c r="E1523" s="19">
        <v>43864</v>
      </c>
      <c r="F1523">
        <v>48.34</v>
      </c>
      <c r="H1523" s="19">
        <v>43864</v>
      </c>
      <c r="I1523">
        <v>12.34</v>
      </c>
      <c r="K1523" s="19"/>
      <c r="N1523" s="19"/>
    </row>
    <row r="1524" spans="2:14" x14ac:dyDescent="0.25">
      <c r="B1524" s="19">
        <v>43865</v>
      </c>
      <c r="C1524">
        <v>44.8</v>
      </c>
      <c r="E1524" s="19">
        <v>43865</v>
      </c>
      <c r="F1524">
        <v>49.29</v>
      </c>
      <c r="H1524" s="19">
        <v>43865</v>
      </c>
      <c r="I1524">
        <v>12.565</v>
      </c>
      <c r="K1524" s="19"/>
      <c r="N1524" s="19"/>
    </row>
    <row r="1525" spans="2:14" x14ac:dyDescent="0.25">
      <c r="B1525" s="19">
        <v>43866</v>
      </c>
      <c r="C1525">
        <v>45.435000000000002</v>
      </c>
      <c r="E1525" s="19">
        <v>43866</v>
      </c>
      <c r="F1525">
        <v>49.61</v>
      </c>
      <c r="H1525" s="19">
        <v>43866</v>
      </c>
      <c r="I1525">
        <v>13.045</v>
      </c>
      <c r="K1525" s="19"/>
      <c r="N1525" s="19"/>
    </row>
    <row r="1526" spans="2:14" x14ac:dyDescent="0.25">
      <c r="B1526" s="19">
        <v>43867</v>
      </c>
      <c r="C1526">
        <v>45.9</v>
      </c>
      <c r="E1526" s="19">
        <v>43867</v>
      </c>
      <c r="F1526">
        <v>50.41</v>
      </c>
      <c r="H1526" s="19">
        <v>43867</v>
      </c>
      <c r="I1526">
        <v>13.315</v>
      </c>
      <c r="K1526" s="19"/>
      <c r="N1526" s="19"/>
    </row>
    <row r="1527" spans="2:14" x14ac:dyDescent="0.25">
      <c r="B1527" s="19">
        <v>43868</v>
      </c>
      <c r="C1527">
        <v>45.26</v>
      </c>
      <c r="E1527" s="19">
        <v>43868</v>
      </c>
      <c r="F1527">
        <v>51.83</v>
      </c>
      <c r="H1527" s="19">
        <v>43868</v>
      </c>
      <c r="I1527">
        <v>13.44</v>
      </c>
      <c r="K1527" s="19"/>
      <c r="N1527" s="19"/>
    </row>
    <row r="1528" spans="2:14" x14ac:dyDescent="0.25">
      <c r="B1528" s="19">
        <v>43871</v>
      </c>
      <c r="C1528">
        <v>44.575000000000003</v>
      </c>
      <c r="E1528" s="19">
        <v>43871</v>
      </c>
      <c r="F1528">
        <v>51.64</v>
      </c>
      <c r="H1528" s="19">
        <v>43871</v>
      </c>
      <c r="I1528">
        <v>13.395</v>
      </c>
      <c r="K1528" s="19"/>
      <c r="N1528" s="19"/>
    </row>
    <row r="1529" spans="2:14" x14ac:dyDescent="0.25">
      <c r="B1529" s="19">
        <v>43872</v>
      </c>
      <c r="C1529">
        <v>44.99</v>
      </c>
      <c r="E1529" s="19">
        <v>43872</v>
      </c>
      <c r="F1529">
        <v>52.73</v>
      </c>
      <c r="H1529" s="19">
        <v>43872</v>
      </c>
      <c r="I1529">
        <v>13.49</v>
      </c>
      <c r="K1529" s="19"/>
      <c r="N1529" s="19"/>
    </row>
    <row r="1530" spans="2:14" x14ac:dyDescent="0.25">
      <c r="B1530" s="19">
        <v>43873</v>
      </c>
      <c r="C1530">
        <v>45.484999999999999</v>
      </c>
      <c r="E1530" s="19">
        <v>43873</v>
      </c>
      <c r="F1530">
        <v>53.58</v>
      </c>
      <c r="H1530" s="19">
        <v>43873</v>
      </c>
      <c r="I1530">
        <v>13.54</v>
      </c>
      <c r="K1530" s="19"/>
      <c r="N1530" s="19"/>
    </row>
    <row r="1531" spans="2:14" x14ac:dyDescent="0.25">
      <c r="B1531" s="19">
        <v>43874</v>
      </c>
      <c r="C1531">
        <v>45.395000000000003</v>
      </c>
      <c r="E1531" s="19">
        <v>43874</v>
      </c>
      <c r="F1531">
        <v>53.57</v>
      </c>
      <c r="H1531" s="19">
        <v>43874</v>
      </c>
      <c r="I1531">
        <v>13.65</v>
      </c>
      <c r="K1531" s="19"/>
      <c r="N1531" s="19"/>
    </row>
    <row r="1532" spans="2:14" x14ac:dyDescent="0.25">
      <c r="B1532" s="19">
        <v>43875</v>
      </c>
      <c r="C1532">
        <v>45.25</v>
      </c>
      <c r="E1532" s="19">
        <v>43875</v>
      </c>
      <c r="F1532">
        <v>53.68</v>
      </c>
      <c r="H1532" s="19">
        <v>43875</v>
      </c>
      <c r="I1532">
        <v>13.49</v>
      </c>
      <c r="K1532" s="19"/>
      <c r="N1532" s="19"/>
    </row>
    <row r="1533" spans="2:14" x14ac:dyDescent="0.25">
      <c r="B1533" s="19">
        <v>43878</v>
      </c>
      <c r="C1533">
        <v>45.204999999999998</v>
      </c>
      <c r="E1533" s="19">
        <v>43878</v>
      </c>
      <c r="F1533">
        <v>54.18</v>
      </c>
      <c r="H1533" s="19">
        <v>43878</v>
      </c>
      <c r="I1533">
        <v>13.635</v>
      </c>
      <c r="K1533" s="19"/>
      <c r="N1533" s="19"/>
    </row>
    <row r="1534" spans="2:14" x14ac:dyDescent="0.25">
      <c r="B1534" s="19">
        <v>43879</v>
      </c>
      <c r="C1534">
        <v>44.695</v>
      </c>
      <c r="E1534" s="19">
        <v>43879</v>
      </c>
      <c r="F1534">
        <v>53.67</v>
      </c>
      <c r="H1534" s="19">
        <v>43879</v>
      </c>
      <c r="I1534">
        <v>13.35</v>
      </c>
      <c r="K1534" s="19"/>
      <c r="N1534" s="19"/>
    </row>
    <row r="1535" spans="2:14" x14ac:dyDescent="0.25">
      <c r="B1535" s="19">
        <v>43880</v>
      </c>
      <c r="C1535">
        <v>45.05</v>
      </c>
      <c r="E1535" s="19">
        <v>43880</v>
      </c>
      <c r="F1535">
        <v>53.75</v>
      </c>
      <c r="H1535" s="19">
        <v>43880</v>
      </c>
      <c r="I1535">
        <v>13.335000000000001</v>
      </c>
      <c r="K1535" s="19"/>
      <c r="N1535" s="19"/>
    </row>
    <row r="1536" spans="2:14" x14ac:dyDescent="0.25">
      <c r="B1536" s="19">
        <v>43881</v>
      </c>
      <c r="C1536">
        <v>44.75</v>
      </c>
      <c r="E1536" s="19">
        <v>43881</v>
      </c>
      <c r="F1536">
        <v>53.26</v>
      </c>
      <c r="H1536" s="19">
        <v>43881</v>
      </c>
      <c r="I1536">
        <v>13.154999999999999</v>
      </c>
      <c r="K1536" s="19"/>
      <c r="N1536" s="19"/>
    </row>
    <row r="1537" spans="2:14" x14ac:dyDescent="0.25">
      <c r="B1537" s="19">
        <v>43882</v>
      </c>
      <c r="C1537">
        <v>44.295000000000002</v>
      </c>
      <c r="E1537" s="19">
        <v>43882</v>
      </c>
      <c r="F1537">
        <v>53.22</v>
      </c>
      <c r="H1537" s="19">
        <v>43882</v>
      </c>
      <c r="I1537">
        <v>13.14</v>
      </c>
      <c r="K1537" s="19"/>
      <c r="N1537" s="19"/>
    </row>
    <row r="1538" spans="2:14" x14ac:dyDescent="0.25">
      <c r="B1538" s="19">
        <v>43885</v>
      </c>
      <c r="C1538">
        <v>42.164999999999999</v>
      </c>
      <c r="E1538" s="19">
        <v>43885</v>
      </c>
      <c r="F1538">
        <v>51.2</v>
      </c>
      <c r="H1538" s="19">
        <v>43885</v>
      </c>
      <c r="I1538">
        <v>12.7</v>
      </c>
      <c r="K1538" s="19"/>
      <c r="N1538" s="19"/>
    </row>
    <row r="1539" spans="2:14" x14ac:dyDescent="0.25">
      <c r="B1539" s="19">
        <v>43886</v>
      </c>
      <c r="C1539">
        <v>41.14</v>
      </c>
      <c r="E1539" s="19">
        <v>43886</v>
      </c>
      <c r="F1539">
        <v>48.7</v>
      </c>
      <c r="H1539" s="19">
        <v>43886</v>
      </c>
      <c r="I1539">
        <v>12.24</v>
      </c>
      <c r="K1539" s="19"/>
      <c r="N1539" s="19"/>
    </row>
    <row r="1540" spans="2:14" x14ac:dyDescent="0.25">
      <c r="B1540" s="19">
        <v>43887</v>
      </c>
      <c r="C1540">
        <v>41.045000000000002</v>
      </c>
      <c r="E1540" s="19">
        <v>43887</v>
      </c>
      <c r="F1540">
        <v>48.215000000000003</v>
      </c>
      <c r="H1540" s="19">
        <v>43887</v>
      </c>
      <c r="I1540">
        <v>12.1</v>
      </c>
      <c r="K1540" s="19"/>
      <c r="N1540" s="19"/>
    </row>
    <row r="1541" spans="2:14" x14ac:dyDescent="0.25">
      <c r="B1541" s="19">
        <v>43888</v>
      </c>
      <c r="C1541">
        <v>39.68</v>
      </c>
      <c r="E1541" s="19">
        <v>43888</v>
      </c>
      <c r="F1541">
        <v>45.384999999999998</v>
      </c>
      <c r="H1541" s="19">
        <v>43888</v>
      </c>
      <c r="I1541">
        <v>11.355</v>
      </c>
      <c r="K1541" s="19"/>
      <c r="N1541" s="19"/>
    </row>
    <row r="1542" spans="2:14" x14ac:dyDescent="0.25">
      <c r="B1542" s="19">
        <v>43889</v>
      </c>
      <c r="C1542">
        <v>38.380000000000003</v>
      </c>
      <c r="E1542" s="19">
        <v>43889</v>
      </c>
      <c r="F1542">
        <v>43.784999999999997</v>
      </c>
      <c r="H1542" s="19">
        <v>43889</v>
      </c>
      <c r="I1542">
        <v>10.81</v>
      </c>
      <c r="K1542" s="19"/>
      <c r="N1542" s="19"/>
    </row>
    <row r="1543" spans="2:14" x14ac:dyDescent="0.25">
      <c r="B1543" s="19">
        <v>43892</v>
      </c>
      <c r="C1543">
        <v>39.1</v>
      </c>
      <c r="E1543" s="19">
        <v>43892</v>
      </c>
      <c r="F1543">
        <v>43.454999999999998</v>
      </c>
      <c r="H1543" s="19">
        <v>43892</v>
      </c>
      <c r="I1543">
        <v>10.47</v>
      </c>
      <c r="K1543" s="19"/>
      <c r="N1543" s="19"/>
    </row>
    <row r="1544" spans="2:14" x14ac:dyDescent="0.25">
      <c r="B1544" s="19">
        <v>43893</v>
      </c>
      <c r="C1544">
        <v>39.32</v>
      </c>
      <c r="E1544" s="19">
        <v>43893</v>
      </c>
      <c r="F1544">
        <v>42.81</v>
      </c>
      <c r="H1544" s="19">
        <v>43893</v>
      </c>
      <c r="I1544">
        <v>10.225</v>
      </c>
      <c r="K1544" s="19"/>
      <c r="N1544" s="19"/>
    </row>
    <row r="1545" spans="2:14" x14ac:dyDescent="0.25">
      <c r="B1545" s="19">
        <v>43894</v>
      </c>
      <c r="C1545">
        <v>39.945</v>
      </c>
      <c r="E1545" s="19">
        <v>43894</v>
      </c>
      <c r="F1545">
        <v>42.25</v>
      </c>
      <c r="H1545" s="19">
        <v>43894</v>
      </c>
      <c r="I1545">
        <v>10.125</v>
      </c>
      <c r="K1545" s="19"/>
      <c r="N1545" s="19"/>
    </row>
    <row r="1546" spans="2:14" x14ac:dyDescent="0.25">
      <c r="B1546" s="19">
        <v>43895</v>
      </c>
      <c r="C1546">
        <v>39.049999999999997</v>
      </c>
      <c r="E1546" s="19">
        <v>43895</v>
      </c>
      <c r="F1546">
        <v>40.515000000000001</v>
      </c>
      <c r="H1546" s="19">
        <v>43895</v>
      </c>
      <c r="I1546">
        <v>9.66</v>
      </c>
      <c r="K1546" s="19"/>
      <c r="N1546" s="19"/>
    </row>
    <row r="1547" spans="2:14" x14ac:dyDescent="0.25">
      <c r="B1547" s="19">
        <v>43896</v>
      </c>
      <c r="C1547">
        <v>37.15</v>
      </c>
      <c r="E1547" s="19">
        <v>43896</v>
      </c>
      <c r="F1547">
        <v>38.515000000000001</v>
      </c>
      <c r="H1547" s="19">
        <v>43896</v>
      </c>
      <c r="I1547">
        <v>9.298</v>
      </c>
      <c r="K1547" s="19"/>
      <c r="N1547" s="19"/>
    </row>
    <row r="1548" spans="2:14" x14ac:dyDescent="0.25">
      <c r="B1548" s="19">
        <v>43899</v>
      </c>
      <c r="C1548">
        <v>30.98</v>
      </c>
      <c r="E1548" s="19">
        <v>43899</v>
      </c>
      <c r="F1548">
        <v>33.784999999999997</v>
      </c>
      <c r="H1548" s="19">
        <v>43899</v>
      </c>
      <c r="I1548">
        <v>7.73</v>
      </c>
      <c r="K1548" s="19"/>
      <c r="N1548" s="19"/>
    </row>
    <row r="1549" spans="2:14" x14ac:dyDescent="0.25">
      <c r="B1549" s="19">
        <v>43900</v>
      </c>
      <c r="C1549">
        <v>31.515000000000001</v>
      </c>
      <c r="E1549" s="19">
        <v>43900</v>
      </c>
      <c r="F1549">
        <v>34.630000000000003</v>
      </c>
      <c r="H1549" s="19">
        <v>43900</v>
      </c>
      <c r="I1549">
        <v>7.7080000000000002</v>
      </c>
      <c r="K1549" s="19"/>
      <c r="N1549" s="19"/>
    </row>
    <row r="1550" spans="2:14" x14ac:dyDescent="0.25">
      <c r="B1550" s="19">
        <v>43901</v>
      </c>
      <c r="C1550">
        <v>30.965</v>
      </c>
      <c r="E1550" s="19">
        <v>43901</v>
      </c>
      <c r="F1550">
        <v>35.659999999999997</v>
      </c>
      <c r="H1550" s="19">
        <v>43901</v>
      </c>
      <c r="I1550">
        <v>7.8959999999999999</v>
      </c>
      <c r="K1550" s="19"/>
      <c r="N1550" s="19"/>
    </row>
    <row r="1551" spans="2:14" x14ac:dyDescent="0.25">
      <c r="B1551" s="19">
        <v>43902</v>
      </c>
      <c r="C1551">
        <v>26.38</v>
      </c>
      <c r="E1551" s="19">
        <v>43902</v>
      </c>
      <c r="F1551">
        <v>31</v>
      </c>
      <c r="H1551" s="19">
        <v>43902</v>
      </c>
      <c r="I1551">
        <v>6.5940000000000003</v>
      </c>
      <c r="K1551" s="19"/>
      <c r="N1551" s="19"/>
    </row>
    <row r="1552" spans="2:14" x14ac:dyDescent="0.25">
      <c r="B1552" s="19">
        <v>43903</v>
      </c>
      <c r="C1552">
        <v>26.024999999999999</v>
      </c>
      <c r="E1552" s="19">
        <v>43903</v>
      </c>
      <c r="F1552">
        <v>31.73</v>
      </c>
      <c r="H1552" s="19">
        <v>43903</v>
      </c>
      <c r="I1552">
        <v>6.8620000000000001</v>
      </c>
      <c r="K1552" s="19"/>
      <c r="N1552" s="19"/>
    </row>
    <row r="1553" spans="2:14" x14ac:dyDescent="0.25">
      <c r="B1553" s="19">
        <v>43906</v>
      </c>
      <c r="C1553">
        <v>24.335000000000001</v>
      </c>
      <c r="E1553" s="19">
        <v>43906</v>
      </c>
      <c r="F1553">
        <v>27.44</v>
      </c>
      <c r="H1553" s="19">
        <v>43906</v>
      </c>
      <c r="I1553">
        <v>6.0780000000000003</v>
      </c>
      <c r="K1553" s="19"/>
      <c r="N1553" s="19"/>
    </row>
    <row r="1554" spans="2:14" x14ac:dyDescent="0.25">
      <c r="B1554" s="19">
        <v>43907</v>
      </c>
      <c r="C1554">
        <v>25.15</v>
      </c>
      <c r="E1554" s="19">
        <v>43907</v>
      </c>
      <c r="F1554">
        <v>29.2</v>
      </c>
      <c r="H1554" s="19">
        <v>43907</v>
      </c>
      <c r="I1554">
        <v>6.5220000000000002</v>
      </c>
      <c r="K1554" s="19"/>
      <c r="N1554" s="19"/>
    </row>
    <row r="1555" spans="2:14" x14ac:dyDescent="0.25">
      <c r="B1555" s="19">
        <v>43908</v>
      </c>
      <c r="C1555">
        <v>21.795000000000002</v>
      </c>
      <c r="E1555" s="19">
        <v>43908</v>
      </c>
      <c r="F1555">
        <v>26.4</v>
      </c>
      <c r="H1555" s="19">
        <v>43908</v>
      </c>
      <c r="I1555">
        <v>6.242</v>
      </c>
      <c r="K1555" s="19"/>
      <c r="N1555" s="19"/>
    </row>
    <row r="1556" spans="2:14" x14ac:dyDescent="0.25">
      <c r="B1556" s="19">
        <v>43909</v>
      </c>
      <c r="C1556">
        <v>22.5</v>
      </c>
      <c r="E1556" s="19">
        <v>43909</v>
      </c>
      <c r="F1556">
        <v>27.184999999999999</v>
      </c>
      <c r="H1556" s="19">
        <v>43909</v>
      </c>
      <c r="I1556">
        <v>6.22</v>
      </c>
      <c r="K1556" s="19"/>
      <c r="N1556" s="19"/>
    </row>
    <row r="1557" spans="2:14" x14ac:dyDescent="0.25">
      <c r="B1557" s="19">
        <v>43910</v>
      </c>
      <c r="C1557">
        <v>25</v>
      </c>
      <c r="E1557" s="19">
        <v>43910</v>
      </c>
      <c r="F1557">
        <v>27.44</v>
      </c>
      <c r="H1557" s="19">
        <v>43910</v>
      </c>
      <c r="I1557">
        <v>6.8280000000000003</v>
      </c>
      <c r="K1557" s="19"/>
      <c r="N1557" s="19"/>
    </row>
    <row r="1558" spans="2:14" x14ac:dyDescent="0.25">
      <c r="B1558" s="19">
        <v>43913</v>
      </c>
      <c r="C1558">
        <v>26.5</v>
      </c>
      <c r="E1558" s="19">
        <v>43913</v>
      </c>
      <c r="F1558">
        <v>25.425000000000001</v>
      </c>
      <c r="H1558" s="19">
        <v>43913</v>
      </c>
      <c r="I1558">
        <v>6.548</v>
      </c>
      <c r="K1558" s="19"/>
      <c r="N1558" s="19"/>
    </row>
    <row r="1559" spans="2:14" x14ac:dyDescent="0.25">
      <c r="B1559" s="19">
        <v>43914</v>
      </c>
      <c r="C1559">
        <v>30.475000000000001</v>
      </c>
      <c r="E1559" s="19">
        <v>43914</v>
      </c>
      <c r="F1559">
        <v>27.78</v>
      </c>
      <c r="H1559" s="19">
        <v>43914</v>
      </c>
      <c r="I1559">
        <v>7.0519999999999996</v>
      </c>
      <c r="K1559" s="19"/>
      <c r="N1559" s="19"/>
    </row>
    <row r="1560" spans="2:14" x14ac:dyDescent="0.25">
      <c r="B1560" s="19">
        <v>43915</v>
      </c>
      <c r="C1560">
        <v>32.85</v>
      </c>
      <c r="E1560" s="19">
        <v>43915</v>
      </c>
      <c r="F1560">
        <v>30</v>
      </c>
      <c r="H1560" s="19">
        <v>43915</v>
      </c>
      <c r="I1560">
        <v>7.4379999999999997</v>
      </c>
      <c r="K1560" s="19"/>
      <c r="N1560" s="19"/>
    </row>
    <row r="1561" spans="2:14" x14ac:dyDescent="0.25">
      <c r="B1561" s="19">
        <v>43916</v>
      </c>
      <c r="C1561">
        <v>33</v>
      </c>
      <c r="E1561" s="19">
        <v>43916</v>
      </c>
      <c r="F1561">
        <v>30.98</v>
      </c>
      <c r="H1561" s="19">
        <v>43916</v>
      </c>
      <c r="I1561">
        <v>7.4560000000000004</v>
      </c>
      <c r="K1561" s="19"/>
      <c r="N1561" s="19"/>
    </row>
    <row r="1562" spans="2:14" x14ac:dyDescent="0.25">
      <c r="B1562" s="19">
        <v>43917</v>
      </c>
      <c r="C1562">
        <v>32.25</v>
      </c>
      <c r="E1562" s="19">
        <v>43917</v>
      </c>
      <c r="F1562">
        <v>29.875</v>
      </c>
      <c r="H1562" s="19">
        <v>43917</v>
      </c>
      <c r="I1562">
        <v>7.0060000000000002</v>
      </c>
      <c r="K1562" s="19"/>
      <c r="N1562" s="19"/>
    </row>
    <row r="1563" spans="2:14" x14ac:dyDescent="0.25">
      <c r="B1563" s="19">
        <v>43920</v>
      </c>
      <c r="C1563">
        <v>33.57</v>
      </c>
      <c r="E1563" s="19">
        <v>43920</v>
      </c>
      <c r="F1563">
        <v>28.25</v>
      </c>
      <c r="H1563" s="19">
        <v>43920</v>
      </c>
      <c r="I1563">
        <v>6.6980000000000004</v>
      </c>
      <c r="K1563" s="19"/>
      <c r="N1563" s="19"/>
    </row>
    <row r="1564" spans="2:14" x14ac:dyDescent="0.25">
      <c r="B1564" s="19">
        <v>43921</v>
      </c>
      <c r="C1564">
        <v>35.39</v>
      </c>
      <c r="E1564" s="19">
        <v>43921</v>
      </c>
      <c r="F1564">
        <v>27.51</v>
      </c>
      <c r="H1564" s="19">
        <v>43921</v>
      </c>
      <c r="I1564">
        <v>6.69</v>
      </c>
      <c r="K1564" s="19"/>
      <c r="N1564" s="19"/>
    </row>
    <row r="1565" spans="2:14" x14ac:dyDescent="0.25">
      <c r="B1565" s="19">
        <v>43922</v>
      </c>
      <c r="C1565">
        <v>35.200000000000003</v>
      </c>
      <c r="E1565" s="19">
        <v>43922</v>
      </c>
      <c r="F1565">
        <v>25.87</v>
      </c>
      <c r="H1565" s="19">
        <v>43922</v>
      </c>
      <c r="I1565">
        <v>6.3440000000000003</v>
      </c>
      <c r="K1565" s="19"/>
      <c r="N1565" s="19"/>
    </row>
    <row r="1566" spans="2:14" x14ac:dyDescent="0.25">
      <c r="B1566" s="19">
        <v>43923</v>
      </c>
      <c r="C1566">
        <v>36.28</v>
      </c>
      <c r="E1566" s="19">
        <v>43923</v>
      </c>
      <c r="F1566">
        <v>26.045000000000002</v>
      </c>
      <c r="H1566" s="19">
        <v>43923</v>
      </c>
      <c r="I1566">
        <v>6.2560000000000002</v>
      </c>
      <c r="K1566" s="19"/>
      <c r="N1566" s="19"/>
    </row>
    <row r="1567" spans="2:14" x14ac:dyDescent="0.25">
      <c r="B1567" s="19">
        <v>43924</v>
      </c>
      <c r="C1567">
        <v>33.53</v>
      </c>
      <c r="E1567" s="19">
        <v>43924</v>
      </c>
      <c r="F1567">
        <v>24.734999999999999</v>
      </c>
      <c r="H1567" s="19">
        <v>43924</v>
      </c>
      <c r="I1567">
        <v>6.0179999999999998</v>
      </c>
      <c r="K1567" s="19"/>
      <c r="N1567" s="19"/>
    </row>
    <row r="1568" spans="2:14" x14ac:dyDescent="0.25">
      <c r="B1568" s="19">
        <v>43927</v>
      </c>
      <c r="C1568">
        <v>33.814999999999998</v>
      </c>
      <c r="E1568" s="19">
        <v>43927</v>
      </c>
      <c r="F1568">
        <v>25.645</v>
      </c>
      <c r="H1568" s="19">
        <v>43927</v>
      </c>
      <c r="I1568">
        <v>6.2439999999999998</v>
      </c>
      <c r="K1568" s="19"/>
      <c r="N1568" s="19"/>
    </row>
    <row r="1569" spans="2:14" x14ac:dyDescent="0.25">
      <c r="B1569" s="19">
        <v>43928</v>
      </c>
      <c r="C1569">
        <v>34.265000000000001</v>
      </c>
      <c r="E1569" s="19">
        <v>43928</v>
      </c>
      <c r="F1569">
        <v>26.75</v>
      </c>
      <c r="H1569" s="19">
        <v>43928</v>
      </c>
      <c r="I1569">
        <v>6.7</v>
      </c>
      <c r="K1569" s="19"/>
      <c r="N1569" s="19"/>
    </row>
    <row r="1570" spans="2:14" x14ac:dyDescent="0.25">
      <c r="B1570" s="19">
        <v>43929</v>
      </c>
      <c r="C1570">
        <v>33.880000000000003</v>
      </c>
      <c r="E1570" s="19">
        <v>43929</v>
      </c>
      <c r="F1570">
        <v>26.954999999999998</v>
      </c>
      <c r="H1570" s="19">
        <v>43929</v>
      </c>
      <c r="I1570">
        <v>6.7160000000000002</v>
      </c>
      <c r="K1570" s="19"/>
      <c r="N1570" s="19"/>
    </row>
    <row r="1571" spans="2:14" x14ac:dyDescent="0.25">
      <c r="B1571" s="19">
        <v>43930</v>
      </c>
      <c r="C1571">
        <v>33.625</v>
      </c>
      <c r="E1571" s="19">
        <v>43930</v>
      </c>
      <c r="F1571">
        <v>28.405000000000001</v>
      </c>
      <c r="H1571" s="19">
        <v>43930</v>
      </c>
      <c r="I1571">
        <v>6.9740000000000002</v>
      </c>
      <c r="K1571" s="19"/>
      <c r="N1571" s="19"/>
    </row>
    <row r="1572" spans="2:14" x14ac:dyDescent="0.25">
      <c r="B1572" s="19">
        <v>43935</v>
      </c>
      <c r="C1572">
        <v>32.659999999999997</v>
      </c>
      <c r="E1572" s="19">
        <v>43935</v>
      </c>
      <c r="F1572">
        <v>27.81</v>
      </c>
      <c r="H1572" s="19">
        <v>43935</v>
      </c>
      <c r="I1572">
        <v>6.7859999999999996</v>
      </c>
      <c r="K1572" s="19"/>
      <c r="N1572" s="19"/>
    </row>
    <row r="1573" spans="2:14" x14ac:dyDescent="0.25">
      <c r="B1573" s="19">
        <v>43936</v>
      </c>
      <c r="C1573">
        <v>30.684999999999999</v>
      </c>
      <c r="E1573" s="19">
        <v>43936</v>
      </c>
      <c r="F1573">
        <v>25.82</v>
      </c>
      <c r="H1573" s="19">
        <v>43936</v>
      </c>
      <c r="I1573">
        <v>6.234</v>
      </c>
      <c r="K1573" s="19"/>
      <c r="N1573" s="19"/>
    </row>
    <row r="1574" spans="2:14" x14ac:dyDescent="0.25">
      <c r="B1574" s="19">
        <v>43937</v>
      </c>
      <c r="C1574">
        <v>30.015000000000001</v>
      </c>
      <c r="E1574" s="19">
        <v>43937</v>
      </c>
      <c r="F1574">
        <v>24.9</v>
      </c>
      <c r="H1574" s="19">
        <v>43937</v>
      </c>
      <c r="I1574">
        <v>6.1959999999999997</v>
      </c>
      <c r="K1574" s="19"/>
      <c r="N1574" s="19"/>
    </row>
    <row r="1575" spans="2:14" x14ac:dyDescent="0.25">
      <c r="B1575" s="19">
        <v>43938</v>
      </c>
      <c r="C1575">
        <v>31.02</v>
      </c>
      <c r="E1575" s="19">
        <v>43938</v>
      </c>
      <c r="F1575">
        <v>25.47</v>
      </c>
      <c r="H1575" s="19">
        <v>43938</v>
      </c>
      <c r="I1575">
        <v>6.53</v>
      </c>
      <c r="K1575" s="19"/>
      <c r="N1575" s="19"/>
    </row>
    <row r="1576" spans="2:14" x14ac:dyDescent="0.25">
      <c r="B1576" s="19">
        <v>43941</v>
      </c>
      <c r="C1576">
        <v>30.87</v>
      </c>
      <c r="E1576" s="19">
        <v>43941</v>
      </c>
      <c r="F1576">
        <v>25.695</v>
      </c>
      <c r="H1576" s="19">
        <v>43941</v>
      </c>
      <c r="I1576">
        <v>6.516</v>
      </c>
      <c r="K1576" s="19"/>
      <c r="N1576" s="19"/>
    </row>
    <row r="1577" spans="2:14" x14ac:dyDescent="0.25">
      <c r="B1577" s="19">
        <v>43942</v>
      </c>
      <c r="C1577">
        <v>29.7</v>
      </c>
      <c r="E1577" s="19">
        <v>43942</v>
      </c>
      <c r="F1577">
        <v>24.67</v>
      </c>
      <c r="H1577" s="19">
        <v>43942</v>
      </c>
      <c r="I1577">
        <v>6.2560000000000002</v>
      </c>
      <c r="K1577" s="19"/>
      <c r="N1577" s="19"/>
    </row>
    <row r="1578" spans="2:14" x14ac:dyDescent="0.25">
      <c r="B1578" s="19">
        <v>43943</v>
      </c>
      <c r="C1578">
        <v>31.114999999999998</v>
      </c>
      <c r="E1578" s="19">
        <v>43943</v>
      </c>
      <c r="F1578">
        <v>25.535</v>
      </c>
      <c r="H1578" s="19">
        <v>43943</v>
      </c>
      <c r="I1578">
        <v>6.476</v>
      </c>
      <c r="K1578" s="19"/>
      <c r="N1578" s="19"/>
    </row>
    <row r="1579" spans="2:14" x14ac:dyDescent="0.25">
      <c r="B1579" s="19">
        <v>43944</v>
      </c>
      <c r="C1579">
        <v>32.42</v>
      </c>
      <c r="E1579" s="19">
        <v>43944</v>
      </c>
      <c r="F1579">
        <v>27.13</v>
      </c>
      <c r="H1579" s="19">
        <v>43944</v>
      </c>
      <c r="I1579">
        <v>6.758</v>
      </c>
      <c r="K1579" s="19"/>
      <c r="N1579" s="19"/>
    </row>
    <row r="1580" spans="2:14" x14ac:dyDescent="0.25">
      <c r="B1580" s="19">
        <v>43945</v>
      </c>
      <c r="C1580">
        <v>31.86</v>
      </c>
      <c r="E1580" s="19">
        <v>43945</v>
      </c>
      <c r="F1580">
        <v>26.3</v>
      </c>
      <c r="H1580" s="19">
        <v>43945</v>
      </c>
      <c r="I1580">
        <v>6.5419999999999998</v>
      </c>
      <c r="K1580" s="19"/>
      <c r="N1580" s="19"/>
    </row>
    <row r="1581" spans="2:14" x14ac:dyDescent="0.25">
      <c r="B1581" s="19">
        <v>43948</v>
      </c>
      <c r="C1581">
        <v>32.25</v>
      </c>
      <c r="E1581" s="19">
        <v>43948</v>
      </c>
      <c r="F1581">
        <v>27.79</v>
      </c>
      <c r="H1581" s="19">
        <v>43948</v>
      </c>
      <c r="I1581">
        <v>6.8380000000000001</v>
      </c>
      <c r="K1581" s="19"/>
      <c r="N1581" s="19"/>
    </row>
    <row r="1582" spans="2:14" x14ac:dyDescent="0.25">
      <c r="B1582" s="19">
        <v>43949</v>
      </c>
      <c r="C1582">
        <v>32.795000000000002</v>
      </c>
      <c r="E1582" s="19">
        <v>43949</v>
      </c>
      <c r="F1582">
        <v>29.6</v>
      </c>
      <c r="H1582" s="19">
        <v>43949</v>
      </c>
      <c r="I1582">
        <v>7.258</v>
      </c>
      <c r="K1582" s="19"/>
      <c r="N1582" s="19"/>
    </row>
    <row r="1583" spans="2:14" x14ac:dyDescent="0.25">
      <c r="B1583" s="19">
        <v>43950</v>
      </c>
      <c r="C1583">
        <v>33.82</v>
      </c>
      <c r="E1583" s="19">
        <v>43950</v>
      </c>
      <c r="F1583">
        <v>30.7</v>
      </c>
      <c r="H1583" s="19">
        <v>43950</v>
      </c>
      <c r="I1583">
        <v>7.7460000000000004</v>
      </c>
      <c r="K1583" s="19"/>
      <c r="N1583" s="19"/>
    </row>
    <row r="1584" spans="2:14" x14ac:dyDescent="0.25">
      <c r="B1584" s="19">
        <v>43951</v>
      </c>
      <c r="C1584">
        <v>32.85</v>
      </c>
      <c r="E1584" s="19">
        <v>43951</v>
      </c>
      <c r="F1584">
        <v>28.675000000000001</v>
      </c>
      <c r="H1584" s="19">
        <v>43951</v>
      </c>
      <c r="I1584">
        <v>7.282</v>
      </c>
      <c r="K1584" s="19"/>
      <c r="N1584" s="19"/>
    </row>
    <row r="1585" spans="2:14" x14ac:dyDescent="0.25">
      <c r="B1585" s="19">
        <v>43955</v>
      </c>
      <c r="C1585">
        <v>30.49</v>
      </c>
      <c r="E1585" s="19">
        <v>43955</v>
      </c>
      <c r="F1585">
        <v>27.11</v>
      </c>
      <c r="H1585" s="19">
        <v>43955</v>
      </c>
      <c r="I1585">
        <v>6.9020000000000001</v>
      </c>
      <c r="K1585" s="19"/>
      <c r="N1585" s="19"/>
    </row>
    <row r="1586" spans="2:14" x14ac:dyDescent="0.25">
      <c r="B1586" s="19">
        <v>43956</v>
      </c>
      <c r="C1586">
        <v>32.909999999999997</v>
      </c>
      <c r="E1586" s="19">
        <v>43956</v>
      </c>
      <c r="F1586">
        <v>28.21</v>
      </c>
      <c r="H1586" s="19">
        <v>43956</v>
      </c>
      <c r="I1586">
        <v>7.1660000000000004</v>
      </c>
      <c r="K1586" s="19"/>
      <c r="N1586" s="19"/>
    </row>
    <row r="1587" spans="2:14" x14ac:dyDescent="0.25">
      <c r="B1587" s="19">
        <v>43957</v>
      </c>
      <c r="C1587">
        <v>32.200000000000003</v>
      </c>
      <c r="E1587" s="19">
        <v>43957</v>
      </c>
      <c r="F1587">
        <v>28</v>
      </c>
      <c r="H1587" s="19">
        <v>43957</v>
      </c>
      <c r="I1587">
        <v>7</v>
      </c>
      <c r="K1587" s="19"/>
      <c r="N1587" s="19"/>
    </row>
    <row r="1588" spans="2:14" x14ac:dyDescent="0.25">
      <c r="B1588" s="19">
        <v>43958</v>
      </c>
      <c r="C1588">
        <v>32.57</v>
      </c>
      <c r="E1588" s="19">
        <v>43958</v>
      </c>
      <c r="F1588">
        <v>28.495000000000001</v>
      </c>
      <c r="H1588" s="19">
        <v>43958</v>
      </c>
      <c r="I1588">
        <v>7.1779999999999999</v>
      </c>
      <c r="K1588" s="19"/>
      <c r="N1588" s="19"/>
    </row>
    <row r="1589" spans="2:14" x14ac:dyDescent="0.25">
      <c r="B1589" s="19">
        <v>43959</v>
      </c>
      <c r="C1589">
        <v>32.984999999999999</v>
      </c>
      <c r="E1589" s="19">
        <v>43959</v>
      </c>
      <c r="F1589">
        <v>28.815000000000001</v>
      </c>
      <c r="H1589" s="19">
        <v>43959</v>
      </c>
      <c r="I1589">
        <v>7.26</v>
      </c>
      <c r="K1589" s="19"/>
      <c r="N1589" s="19"/>
    </row>
    <row r="1590" spans="2:14" x14ac:dyDescent="0.25">
      <c r="B1590" s="19">
        <v>43962</v>
      </c>
      <c r="C1590">
        <v>32.384999999999998</v>
      </c>
      <c r="E1590" s="19">
        <v>43962</v>
      </c>
      <c r="F1590">
        <v>28.1</v>
      </c>
      <c r="H1590" s="19">
        <v>43962</v>
      </c>
      <c r="I1590">
        <v>7.024</v>
      </c>
      <c r="K1590" s="19"/>
      <c r="N1590" s="19"/>
    </row>
    <row r="1591" spans="2:14" x14ac:dyDescent="0.25">
      <c r="B1591" s="19">
        <v>43963</v>
      </c>
      <c r="C1591">
        <v>32.314999999999998</v>
      </c>
      <c r="E1591" s="19">
        <v>43963</v>
      </c>
      <c r="F1591">
        <v>27.82</v>
      </c>
      <c r="H1591" s="19">
        <v>43963</v>
      </c>
      <c r="I1591">
        <v>6.9660000000000002</v>
      </c>
      <c r="K1591" s="19"/>
      <c r="N1591" s="19"/>
    </row>
    <row r="1592" spans="2:14" x14ac:dyDescent="0.25">
      <c r="B1592" s="19">
        <v>43964</v>
      </c>
      <c r="C1592">
        <v>31.09</v>
      </c>
      <c r="E1592" s="19">
        <v>43964</v>
      </c>
      <c r="F1592">
        <v>26.5</v>
      </c>
      <c r="H1592" s="19">
        <v>43964</v>
      </c>
      <c r="I1592">
        <v>6.7880000000000003</v>
      </c>
      <c r="K1592" s="19"/>
      <c r="N1592" s="19"/>
    </row>
    <row r="1593" spans="2:14" x14ac:dyDescent="0.25">
      <c r="B1593" s="19">
        <v>43965</v>
      </c>
      <c r="C1593">
        <v>30.81</v>
      </c>
      <c r="E1593" s="19">
        <v>43965</v>
      </c>
      <c r="F1593">
        <v>26.23</v>
      </c>
      <c r="H1593" s="19">
        <v>43965</v>
      </c>
      <c r="I1593">
        <v>6.6959999999999997</v>
      </c>
      <c r="K1593" s="19"/>
      <c r="N1593" s="19"/>
    </row>
    <row r="1594" spans="2:14" x14ac:dyDescent="0.25">
      <c r="B1594" s="19">
        <v>43966</v>
      </c>
      <c r="C1594">
        <v>30.86</v>
      </c>
      <c r="E1594" s="19">
        <v>43966</v>
      </c>
      <c r="F1594">
        <v>26.54</v>
      </c>
      <c r="H1594" s="19">
        <v>43966</v>
      </c>
      <c r="I1594">
        <v>6.8079999999999998</v>
      </c>
      <c r="K1594" s="19"/>
      <c r="N1594" s="19"/>
    </row>
    <row r="1595" spans="2:14" x14ac:dyDescent="0.25">
      <c r="B1595" s="19">
        <v>43969</v>
      </c>
      <c r="C1595">
        <v>33.145000000000003</v>
      </c>
      <c r="E1595" s="19">
        <v>43969</v>
      </c>
      <c r="F1595">
        <v>28.614999999999998</v>
      </c>
      <c r="H1595" s="19">
        <v>43969</v>
      </c>
      <c r="I1595">
        <v>7.2240000000000002</v>
      </c>
      <c r="K1595" s="19"/>
      <c r="N1595" s="19"/>
    </row>
    <row r="1596" spans="2:14" x14ac:dyDescent="0.25">
      <c r="B1596" s="19">
        <v>43970</v>
      </c>
      <c r="C1596">
        <v>32.954999999999998</v>
      </c>
      <c r="E1596" s="19">
        <v>43970</v>
      </c>
      <c r="F1596">
        <v>28.35</v>
      </c>
      <c r="H1596" s="19">
        <v>43970</v>
      </c>
      <c r="I1596">
        <v>7.024</v>
      </c>
      <c r="K1596" s="19"/>
      <c r="N1596" s="19"/>
    </row>
    <row r="1597" spans="2:14" x14ac:dyDescent="0.25">
      <c r="B1597" s="19">
        <v>43971</v>
      </c>
      <c r="C1597">
        <v>33.369999999999997</v>
      </c>
      <c r="E1597" s="19">
        <v>43971</v>
      </c>
      <c r="F1597">
        <v>28.82</v>
      </c>
      <c r="H1597" s="19">
        <v>43971</v>
      </c>
      <c r="I1597">
        <v>7.0659999999999998</v>
      </c>
      <c r="K1597" s="19"/>
      <c r="N1597" s="19"/>
    </row>
    <row r="1598" spans="2:14" x14ac:dyDescent="0.25">
      <c r="B1598" s="19">
        <v>43972</v>
      </c>
      <c r="C1598">
        <v>32.770000000000003</v>
      </c>
      <c r="E1598" s="19">
        <v>43972</v>
      </c>
      <c r="F1598">
        <v>28.285</v>
      </c>
      <c r="H1598" s="19">
        <v>43972</v>
      </c>
      <c r="I1598">
        <v>6.8520000000000003</v>
      </c>
      <c r="K1598" s="19"/>
      <c r="N1598" s="19"/>
    </row>
    <row r="1599" spans="2:14" x14ac:dyDescent="0.25">
      <c r="B1599" s="19">
        <v>43973</v>
      </c>
      <c r="C1599">
        <v>32.67</v>
      </c>
      <c r="E1599" s="19">
        <v>43973</v>
      </c>
      <c r="F1599">
        <v>28.375</v>
      </c>
      <c r="H1599" s="19">
        <v>43973</v>
      </c>
      <c r="I1599">
        <v>6.8920000000000003</v>
      </c>
      <c r="K1599" s="19"/>
      <c r="N1599" s="19"/>
    </row>
    <row r="1600" spans="2:14" x14ac:dyDescent="0.25">
      <c r="B1600" s="19">
        <v>43976</v>
      </c>
      <c r="C1600">
        <v>33.265000000000001</v>
      </c>
      <c r="E1600" s="19">
        <v>43976</v>
      </c>
      <c r="F1600">
        <v>28.905000000000001</v>
      </c>
      <c r="H1600" s="19">
        <v>43976</v>
      </c>
      <c r="I1600">
        <v>7.03</v>
      </c>
      <c r="K1600" s="19"/>
      <c r="N1600" s="19"/>
    </row>
    <row r="1601" spans="2:14" x14ac:dyDescent="0.25">
      <c r="B1601" s="19">
        <v>43977</v>
      </c>
      <c r="C1601">
        <v>33.375</v>
      </c>
      <c r="E1601" s="19">
        <v>43977</v>
      </c>
      <c r="F1601">
        <v>31</v>
      </c>
      <c r="H1601" s="19">
        <v>43977</v>
      </c>
      <c r="I1601">
        <v>7.5919999999999996</v>
      </c>
      <c r="K1601" s="19"/>
      <c r="N1601" s="19"/>
    </row>
    <row r="1602" spans="2:14" x14ac:dyDescent="0.25">
      <c r="B1602" s="19">
        <v>43978</v>
      </c>
      <c r="C1602">
        <v>34.04</v>
      </c>
      <c r="E1602" s="19">
        <v>43978</v>
      </c>
      <c r="F1602">
        <v>33.734999999999999</v>
      </c>
      <c r="H1602" s="19">
        <v>43978</v>
      </c>
      <c r="I1602">
        <v>7.9939999999999998</v>
      </c>
      <c r="K1602" s="19"/>
      <c r="N1602" s="19"/>
    </row>
    <row r="1603" spans="2:14" x14ac:dyDescent="0.25">
      <c r="B1603" s="19">
        <v>43979</v>
      </c>
      <c r="C1603">
        <v>34.32</v>
      </c>
      <c r="E1603" s="19">
        <v>43979</v>
      </c>
      <c r="F1603">
        <v>33.695</v>
      </c>
      <c r="H1603" s="19">
        <v>43979</v>
      </c>
      <c r="I1603">
        <v>7.9960000000000004</v>
      </c>
      <c r="K1603" s="19"/>
      <c r="N1603" s="19"/>
    </row>
    <row r="1604" spans="2:14" x14ac:dyDescent="0.25">
      <c r="B1604" s="19">
        <v>43980</v>
      </c>
      <c r="C1604">
        <v>33.625</v>
      </c>
      <c r="E1604" s="19">
        <v>43980</v>
      </c>
      <c r="F1604">
        <v>32.255000000000003</v>
      </c>
      <c r="H1604" s="19">
        <v>43980</v>
      </c>
      <c r="I1604">
        <v>7.8239999999999998</v>
      </c>
      <c r="K1604" s="19"/>
      <c r="N1604" s="19"/>
    </row>
    <row r="1605" spans="2:14" x14ac:dyDescent="0.25">
      <c r="B1605" s="19">
        <v>43983</v>
      </c>
      <c r="C1605">
        <v>34.545000000000002</v>
      </c>
      <c r="E1605" s="19">
        <v>43983</v>
      </c>
      <c r="F1605">
        <v>33.484999999999999</v>
      </c>
      <c r="H1605" s="19">
        <v>43983</v>
      </c>
      <c r="I1605">
        <v>8.016</v>
      </c>
      <c r="K1605" s="19"/>
      <c r="N1605" s="19"/>
    </row>
    <row r="1606" spans="2:14" x14ac:dyDescent="0.25">
      <c r="B1606" s="19">
        <v>43984</v>
      </c>
      <c r="C1606">
        <v>35.545000000000002</v>
      </c>
      <c r="E1606" s="19">
        <v>43984</v>
      </c>
      <c r="F1606">
        <v>34.479999999999997</v>
      </c>
      <c r="H1606" s="19">
        <v>43984</v>
      </c>
      <c r="I1606">
        <v>8.1999999999999993</v>
      </c>
      <c r="K1606" s="19"/>
      <c r="N1606" s="19"/>
    </row>
    <row r="1607" spans="2:14" x14ac:dyDescent="0.25">
      <c r="B1607" s="19">
        <v>43985</v>
      </c>
      <c r="C1607">
        <v>36.424999999999997</v>
      </c>
      <c r="E1607" s="19">
        <v>43985</v>
      </c>
      <c r="F1607">
        <v>36.15</v>
      </c>
      <c r="H1607" s="19">
        <v>43985</v>
      </c>
      <c r="I1607">
        <v>8.484</v>
      </c>
      <c r="K1607" s="19"/>
      <c r="N1607" s="19"/>
    </row>
    <row r="1608" spans="2:14" x14ac:dyDescent="0.25">
      <c r="B1608" s="19">
        <v>43986</v>
      </c>
      <c r="C1608">
        <v>36.115000000000002</v>
      </c>
      <c r="E1608" s="19">
        <v>43986</v>
      </c>
      <c r="F1608">
        <v>36.020000000000003</v>
      </c>
      <c r="H1608" s="19">
        <v>43986</v>
      </c>
      <c r="I1608">
        <v>8.5540000000000003</v>
      </c>
      <c r="K1608" s="19"/>
      <c r="N1608" s="19"/>
    </row>
    <row r="1609" spans="2:14" x14ac:dyDescent="0.25">
      <c r="B1609" s="19">
        <v>43987</v>
      </c>
      <c r="C1609">
        <v>38.335000000000001</v>
      </c>
      <c r="E1609" s="19">
        <v>43987</v>
      </c>
      <c r="F1609">
        <v>39.115000000000002</v>
      </c>
      <c r="H1609" s="19">
        <v>43987</v>
      </c>
      <c r="I1609">
        <v>9.0960000000000001</v>
      </c>
      <c r="K1609" s="19"/>
      <c r="N1609" s="19"/>
    </row>
    <row r="1610" spans="2:14" x14ac:dyDescent="0.25">
      <c r="B1610" s="19">
        <v>43990</v>
      </c>
      <c r="C1610">
        <v>38.85</v>
      </c>
      <c r="E1610" s="19">
        <v>43990</v>
      </c>
      <c r="F1610">
        <v>39.450000000000003</v>
      </c>
      <c r="H1610" s="19">
        <v>43990</v>
      </c>
      <c r="I1610">
        <v>9.2799999999999994</v>
      </c>
      <c r="K1610" s="19"/>
      <c r="N1610" s="19"/>
    </row>
    <row r="1611" spans="2:14" x14ac:dyDescent="0.25">
      <c r="B1611" s="19">
        <v>43991</v>
      </c>
      <c r="C1611">
        <v>37.700000000000003</v>
      </c>
      <c r="E1611" s="19">
        <v>43991</v>
      </c>
      <c r="F1611">
        <v>38.159999999999997</v>
      </c>
      <c r="H1611" s="19">
        <v>43991</v>
      </c>
      <c r="I1611">
        <v>8.6920000000000002</v>
      </c>
      <c r="K1611" s="19"/>
      <c r="N1611" s="19"/>
    </row>
    <row r="1612" spans="2:14" x14ac:dyDescent="0.25">
      <c r="B1612" s="19">
        <v>43992</v>
      </c>
      <c r="C1612">
        <v>37.015000000000001</v>
      </c>
      <c r="E1612" s="19">
        <v>43992</v>
      </c>
      <c r="F1612">
        <v>37.35</v>
      </c>
      <c r="H1612" s="19">
        <v>43992</v>
      </c>
      <c r="I1612">
        <v>8.5779999999999994</v>
      </c>
      <c r="K1612" s="19"/>
      <c r="N1612" s="19"/>
    </row>
    <row r="1613" spans="2:14" x14ac:dyDescent="0.25">
      <c r="B1613" s="19">
        <v>43993</v>
      </c>
      <c r="C1613">
        <v>34.725000000000001</v>
      </c>
      <c r="E1613" s="19">
        <v>43993</v>
      </c>
      <c r="F1613">
        <v>34.75</v>
      </c>
      <c r="H1613" s="19">
        <v>43993</v>
      </c>
      <c r="I1613">
        <v>8.0559999999999992</v>
      </c>
      <c r="K1613" s="19"/>
      <c r="N1613" s="19"/>
    </row>
    <row r="1614" spans="2:14" x14ac:dyDescent="0.25">
      <c r="B1614" s="19">
        <v>43994</v>
      </c>
      <c r="C1614">
        <v>35.094999999999999</v>
      </c>
      <c r="E1614" s="19">
        <v>43994</v>
      </c>
      <c r="F1614">
        <v>34.97</v>
      </c>
      <c r="H1614" s="19">
        <v>43994</v>
      </c>
      <c r="I1614">
        <v>8.1259999999999994</v>
      </c>
      <c r="K1614" s="19"/>
      <c r="N1614" s="19"/>
    </row>
    <row r="1615" spans="2:14" x14ac:dyDescent="0.25">
      <c r="B1615" s="19">
        <v>43997</v>
      </c>
      <c r="C1615">
        <v>34.69</v>
      </c>
      <c r="E1615" s="19">
        <v>43997</v>
      </c>
      <c r="F1615">
        <v>34.295000000000002</v>
      </c>
      <c r="H1615" s="19">
        <v>43997</v>
      </c>
      <c r="I1615">
        <v>8.06</v>
      </c>
      <c r="K1615" s="19"/>
      <c r="N1615" s="19"/>
    </row>
    <row r="1616" spans="2:14" x14ac:dyDescent="0.25">
      <c r="B1616" s="19">
        <v>43998</v>
      </c>
      <c r="C1616">
        <v>35.83</v>
      </c>
      <c r="E1616" s="19">
        <v>43998</v>
      </c>
      <c r="F1616">
        <v>36.01</v>
      </c>
      <c r="H1616" s="19">
        <v>43998</v>
      </c>
      <c r="I1616">
        <v>8.3360000000000003</v>
      </c>
      <c r="K1616" s="19"/>
      <c r="N1616" s="19"/>
    </row>
    <row r="1617" spans="2:14" x14ac:dyDescent="0.25">
      <c r="B1617" s="19">
        <v>43999</v>
      </c>
      <c r="C1617">
        <v>35.945</v>
      </c>
      <c r="E1617" s="19">
        <v>43999</v>
      </c>
      <c r="F1617">
        <v>35.954999999999998</v>
      </c>
      <c r="H1617" s="19">
        <v>43999</v>
      </c>
      <c r="I1617">
        <v>8.2959999999999994</v>
      </c>
      <c r="K1617" s="19"/>
      <c r="N1617" s="19"/>
    </row>
    <row r="1618" spans="2:14" x14ac:dyDescent="0.25">
      <c r="B1618" s="19">
        <v>44000</v>
      </c>
      <c r="C1618">
        <v>35.68</v>
      </c>
      <c r="E1618" s="19">
        <v>44000</v>
      </c>
      <c r="F1618">
        <v>35.814999999999998</v>
      </c>
      <c r="H1618" s="19">
        <v>44000</v>
      </c>
      <c r="I1618">
        <v>8.2360000000000007</v>
      </c>
      <c r="K1618" s="19"/>
      <c r="N1618" s="19"/>
    </row>
    <row r="1619" spans="2:14" x14ac:dyDescent="0.25">
      <c r="B1619" s="19">
        <v>44001</v>
      </c>
      <c r="C1619">
        <v>35.69</v>
      </c>
      <c r="E1619" s="19">
        <v>44001</v>
      </c>
      <c r="F1619">
        <v>35.299999999999997</v>
      </c>
      <c r="H1619" s="19">
        <v>44001</v>
      </c>
      <c r="I1619">
        <v>8.0660000000000007</v>
      </c>
      <c r="K1619" s="19"/>
      <c r="N1619" s="19"/>
    </row>
    <row r="1620" spans="2:14" x14ac:dyDescent="0.25">
      <c r="B1620" s="19">
        <v>44004</v>
      </c>
      <c r="C1620">
        <v>35.435000000000002</v>
      </c>
      <c r="E1620" s="19">
        <v>44004</v>
      </c>
      <c r="F1620">
        <v>35.1</v>
      </c>
      <c r="H1620" s="19">
        <v>44004</v>
      </c>
      <c r="I1620">
        <v>8.0820000000000007</v>
      </c>
      <c r="K1620" s="19"/>
      <c r="N1620" s="19"/>
    </row>
    <row r="1621" spans="2:14" x14ac:dyDescent="0.25">
      <c r="B1621" s="19">
        <v>44005</v>
      </c>
      <c r="C1621">
        <v>36.185000000000002</v>
      </c>
      <c r="E1621" s="19">
        <v>44005</v>
      </c>
      <c r="F1621">
        <v>36.31</v>
      </c>
      <c r="H1621" s="19">
        <v>44005</v>
      </c>
      <c r="I1621">
        <v>8.4</v>
      </c>
      <c r="K1621" s="19"/>
      <c r="N1621" s="19"/>
    </row>
    <row r="1622" spans="2:14" x14ac:dyDescent="0.25">
      <c r="B1622" s="19">
        <v>44006</v>
      </c>
      <c r="C1622">
        <v>34.93</v>
      </c>
      <c r="E1622" s="19">
        <v>44006</v>
      </c>
      <c r="F1622">
        <v>34.51</v>
      </c>
      <c r="H1622" s="19">
        <v>44006</v>
      </c>
      <c r="I1622">
        <v>8.0359999999999996</v>
      </c>
      <c r="K1622" s="19"/>
      <c r="N1622" s="19"/>
    </row>
    <row r="1623" spans="2:14" x14ac:dyDescent="0.25">
      <c r="B1623" s="19">
        <v>44007</v>
      </c>
      <c r="C1623">
        <v>35.21</v>
      </c>
      <c r="E1623" s="19">
        <v>44007</v>
      </c>
      <c r="F1623">
        <v>35.174999999999997</v>
      </c>
      <c r="H1623" s="19">
        <v>44007</v>
      </c>
      <c r="I1623">
        <v>8.2780000000000005</v>
      </c>
      <c r="K1623" s="19"/>
      <c r="N1623" s="19"/>
    </row>
    <row r="1624" spans="2:14" x14ac:dyDescent="0.25">
      <c r="B1624" s="19">
        <v>44008</v>
      </c>
      <c r="C1624">
        <v>35.145000000000003</v>
      </c>
      <c r="E1624" s="19">
        <v>44008</v>
      </c>
      <c r="F1624">
        <v>34.484999999999999</v>
      </c>
      <c r="H1624" s="19">
        <v>44008</v>
      </c>
      <c r="I1624">
        <v>8.0839999999999996</v>
      </c>
      <c r="K1624" s="19"/>
      <c r="N1624" s="19"/>
    </row>
    <row r="1625" spans="2:14" x14ac:dyDescent="0.25">
      <c r="B1625" s="19">
        <v>44011</v>
      </c>
      <c r="C1625">
        <v>34.549999999999997</v>
      </c>
      <c r="E1625" s="19">
        <v>44011</v>
      </c>
      <c r="F1625">
        <v>35.35</v>
      </c>
      <c r="H1625" s="19">
        <v>44011</v>
      </c>
      <c r="I1625">
        <v>8.3859999999999992</v>
      </c>
      <c r="K1625" s="19"/>
      <c r="N1625" s="19"/>
    </row>
    <row r="1626" spans="2:14" x14ac:dyDescent="0.25">
      <c r="B1626" s="19">
        <v>44012</v>
      </c>
      <c r="C1626">
        <v>33.975000000000001</v>
      </c>
      <c r="E1626" s="19">
        <v>44012</v>
      </c>
      <c r="F1626">
        <v>35.369999999999997</v>
      </c>
      <c r="H1626" s="19">
        <v>44012</v>
      </c>
      <c r="I1626">
        <v>8.4280000000000008</v>
      </c>
      <c r="K1626" s="19"/>
      <c r="N1626" s="19"/>
    </row>
    <row r="1627" spans="2:14" x14ac:dyDescent="0.25">
      <c r="B1627" s="19">
        <v>44013</v>
      </c>
      <c r="C1627">
        <v>34.159999999999997</v>
      </c>
      <c r="E1627" s="19">
        <v>44013</v>
      </c>
      <c r="F1627">
        <v>34.72</v>
      </c>
      <c r="H1627" s="19">
        <v>44013</v>
      </c>
      <c r="I1627">
        <v>8.3780000000000001</v>
      </c>
      <c r="K1627" s="19"/>
      <c r="N1627" s="19"/>
    </row>
    <row r="1628" spans="2:14" x14ac:dyDescent="0.25">
      <c r="B1628" s="19">
        <v>44014</v>
      </c>
      <c r="C1628">
        <v>34.844999999999999</v>
      </c>
      <c r="E1628" s="19">
        <v>44014</v>
      </c>
      <c r="F1628">
        <v>36.604999999999997</v>
      </c>
      <c r="H1628" s="19">
        <v>44014</v>
      </c>
      <c r="I1628">
        <v>8.7520000000000007</v>
      </c>
      <c r="K1628" s="19"/>
      <c r="N1628" s="19"/>
    </row>
    <row r="1629" spans="2:14" x14ac:dyDescent="0.25">
      <c r="B1629" s="19">
        <v>44015</v>
      </c>
      <c r="C1629">
        <v>34.64</v>
      </c>
      <c r="E1629" s="19">
        <v>44015</v>
      </c>
      <c r="F1629">
        <v>36.28</v>
      </c>
      <c r="H1629" s="19">
        <v>44015</v>
      </c>
      <c r="I1629">
        <v>8.718</v>
      </c>
      <c r="K1629" s="19"/>
      <c r="N1629" s="19"/>
    </row>
    <row r="1630" spans="2:14" x14ac:dyDescent="0.25">
      <c r="B1630" s="19">
        <v>44018</v>
      </c>
      <c r="C1630">
        <v>35.085000000000001</v>
      </c>
      <c r="E1630" s="19">
        <v>44018</v>
      </c>
      <c r="F1630">
        <v>37.384999999999998</v>
      </c>
      <c r="H1630" s="19">
        <v>44018</v>
      </c>
      <c r="I1630">
        <v>8.9619999999999997</v>
      </c>
      <c r="K1630" s="19"/>
      <c r="N1630" s="19"/>
    </row>
    <row r="1631" spans="2:14" x14ac:dyDescent="0.25">
      <c r="B1631" s="19">
        <v>44019</v>
      </c>
      <c r="C1631">
        <v>34.685000000000002</v>
      </c>
      <c r="E1631" s="19">
        <v>44019</v>
      </c>
      <c r="F1631">
        <v>37.24</v>
      </c>
      <c r="H1631" s="19">
        <v>44019</v>
      </c>
      <c r="I1631">
        <v>8.8859999999999992</v>
      </c>
      <c r="K1631" s="19"/>
      <c r="N1631" s="19"/>
    </row>
    <row r="1632" spans="2:14" x14ac:dyDescent="0.25">
      <c r="B1632" s="19">
        <v>44020</v>
      </c>
      <c r="C1632">
        <v>34.28</v>
      </c>
      <c r="E1632" s="19">
        <v>44020</v>
      </c>
      <c r="F1632">
        <v>36.35</v>
      </c>
      <c r="H1632" s="19">
        <v>44020</v>
      </c>
      <c r="I1632">
        <v>8.76</v>
      </c>
      <c r="K1632" s="19"/>
      <c r="N1632" s="19"/>
    </row>
    <row r="1633" spans="2:14" x14ac:dyDescent="0.25">
      <c r="B1633" s="19">
        <v>44021</v>
      </c>
      <c r="C1633">
        <v>33.159999999999997</v>
      </c>
      <c r="E1633" s="19">
        <v>44021</v>
      </c>
      <c r="F1633">
        <v>35.51</v>
      </c>
      <c r="H1633" s="19">
        <v>44021</v>
      </c>
      <c r="I1633">
        <v>8.5559999999999992</v>
      </c>
      <c r="K1633" s="19"/>
      <c r="N1633" s="19"/>
    </row>
    <row r="1634" spans="2:14" x14ac:dyDescent="0.25">
      <c r="B1634" s="19">
        <v>44022</v>
      </c>
      <c r="C1634">
        <v>33.32</v>
      </c>
      <c r="E1634" s="19">
        <v>44022</v>
      </c>
      <c r="F1634">
        <v>36.68</v>
      </c>
      <c r="H1634" s="19">
        <v>44022</v>
      </c>
      <c r="I1634">
        <v>8.8520000000000003</v>
      </c>
      <c r="K1634" s="19"/>
      <c r="N1634" s="19"/>
    </row>
    <row r="1635" spans="2:14" x14ac:dyDescent="0.25">
      <c r="B1635" s="19">
        <v>44025</v>
      </c>
      <c r="C1635">
        <v>33.71</v>
      </c>
      <c r="E1635" s="19">
        <v>44025</v>
      </c>
      <c r="F1635">
        <v>37.734999999999999</v>
      </c>
      <c r="H1635" s="19">
        <v>44025</v>
      </c>
      <c r="I1635">
        <v>8.9459999999999997</v>
      </c>
      <c r="K1635" s="19"/>
      <c r="N1635" s="19"/>
    </row>
    <row r="1636" spans="2:14" x14ac:dyDescent="0.25">
      <c r="B1636" s="19">
        <v>44026</v>
      </c>
      <c r="C1636">
        <v>34.045000000000002</v>
      </c>
      <c r="E1636" s="19">
        <v>44026</v>
      </c>
      <c r="F1636">
        <v>37.505000000000003</v>
      </c>
      <c r="H1636" s="19">
        <v>44026</v>
      </c>
      <c r="I1636">
        <v>9.01</v>
      </c>
      <c r="K1636" s="19"/>
      <c r="N1636" s="19"/>
    </row>
    <row r="1637" spans="2:14" x14ac:dyDescent="0.25">
      <c r="B1637" s="19">
        <v>44027</v>
      </c>
      <c r="C1637">
        <v>34.33</v>
      </c>
      <c r="E1637" s="19">
        <v>44027</v>
      </c>
      <c r="F1637">
        <v>38.53</v>
      </c>
      <c r="H1637" s="19">
        <v>44027</v>
      </c>
      <c r="I1637">
        <v>9.1300000000000008</v>
      </c>
      <c r="K1637" s="19"/>
      <c r="N1637" s="19"/>
    </row>
    <row r="1638" spans="2:14" x14ac:dyDescent="0.25">
      <c r="B1638" s="19">
        <v>44028</v>
      </c>
      <c r="C1638">
        <v>34.424999999999997</v>
      </c>
      <c r="E1638" s="19">
        <v>44028</v>
      </c>
      <c r="F1638">
        <v>38.56</v>
      </c>
      <c r="H1638" s="19">
        <v>44028</v>
      </c>
      <c r="I1638">
        <v>9.2159999999999993</v>
      </c>
      <c r="K1638" s="19"/>
      <c r="N1638" s="19"/>
    </row>
    <row r="1639" spans="2:14" x14ac:dyDescent="0.25">
      <c r="B1639" s="19">
        <v>44029</v>
      </c>
      <c r="C1639">
        <v>33.825000000000003</v>
      </c>
      <c r="E1639" s="19">
        <v>44029</v>
      </c>
      <c r="F1639">
        <v>37.975000000000001</v>
      </c>
      <c r="H1639" s="19">
        <v>44029</v>
      </c>
      <c r="I1639">
        <v>9.1140000000000008</v>
      </c>
      <c r="K1639" s="19"/>
      <c r="N1639" s="19"/>
    </row>
    <row r="1640" spans="2:14" x14ac:dyDescent="0.25">
      <c r="B1640" s="19">
        <v>44032</v>
      </c>
      <c r="C1640">
        <v>33.204999999999998</v>
      </c>
      <c r="E1640" s="19">
        <v>44032</v>
      </c>
      <c r="F1640">
        <v>38.01</v>
      </c>
      <c r="H1640" s="19">
        <v>44032</v>
      </c>
      <c r="I1640">
        <v>9.1300000000000008</v>
      </c>
      <c r="K1640" s="19"/>
      <c r="N1640" s="19"/>
    </row>
    <row r="1641" spans="2:14" x14ac:dyDescent="0.25">
      <c r="B1641" s="19">
        <v>44033</v>
      </c>
      <c r="C1641">
        <v>33.755000000000003</v>
      </c>
      <c r="E1641" s="19">
        <v>44033</v>
      </c>
      <c r="F1641">
        <v>38.54</v>
      </c>
      <c r="H1641" s="19">
        <v>44033</v>
      </c>
      <c r="I1641">
        <v>9.2119999999999997</v>
      </c>
      <c r="K1641" s="19"/>
      <c r="N1641" s="19"/>
    </row>
    <row r="1642" spans="2:14" x14ac:dyDescent="0.25">
      <c r="B1642" s="19">
        <v>44034</v>
      </c>
      <c r="C1642">
        <v>32.695</v>
      </c>
      <c r="E1642" s="19">
        <v>44034</v>
      </c>
      <c r="F1642">
        <v>37.799999999999997</v>
      </c>
      <c r="H1642" s="19">
        <v>44034</v>
      </c>
      <c r="I1642">
        <v>9</v>
      </c>
      <c r="K1642" s="19"/>
      <c r="N1642" s="19"/>
    </row>
    <row r="1643" spans="2:14" x14ac:dyDescent="0.25">
      <c r="B1643" s="19">
        <v>44035</v>
      </c>
      <c r="C1643">
        <v>32.53</v>
      </c>
      <c r="E1643" s="19">
        <v>44035</v>
      </c>
      <c r="F1643">
        <v>37.564999999999998</v>
      </c>
      <c r="H1643" s="19">
        <v>44035</v>
      </c>
      <c r="I1643">
        <v>8.9860000000000007</v>
      </c>
      <c r="K1643" s="19"/>
      <c r="N1643" s="19"/>
    </row>
    <row r="1644" spans="2:14" x14ac:dyDescent="0.25">
      <c r="B1644" s="19">
        <v>44036</v>
      </c>
      <c r="C1644">
        <v>32.65</v>
      </c>
      <c r="E1644" s="19">
        <v>44036</v>
      </c>
      <c r="F1644">
        <v>37.14</v>
      </c>
      <c r="H1644" s="19">
        <v>44036</v>
      </c>
      <c r="I1644">
        <v>8.9079999999999995</v>
      </c>
      <c r="K1644" s="19"/>
      <c r="N1644" s="19"/>
    </row>
    <row r="1645" spans="2:14" x14ac:dyDescent="0.25">
      <c r="B1645" s="19">
        <v>44039</v>
      </c>
      <c r="C1645">
        <v>32.39</v>
      </c>
      <c r="E1645" s="19">
        <v>44039</v>
      </c>
      <c r="F1645">
        <v>36.314999999999998</v>
      </c>
      <c r="H1645" s="19">
        <v>44039</v>
      </c>
      <c r="I1645">
        <v>8.7240000000000002</v>
      </c>
      <c r="K1645" s="19"/>
      <c r="N1645" s="19"/>
    </row>
    <row r="1646" spans="2:14" x14ac:dyDescent="0.25">
      <c r="B1646" s="19">
        <v>44040</v>
      </c>
      <c r="C1646">
        <v>32.405000000000001</v>
      </c>
      <c r="E1646" s="19">
        <v>44040</v>
      </c>
      <c r="F1646">
        <v>36.17</v>
      </c>
      <c r="H1646" s="19">
        <v>44040</v>
      </c>
      <c r="I1646">
        <v>8.7460000000000004</v>
      </c>
      <c r="K1646" s="19"/>
      <c r="N1646" s="19"/>
    </row>
    <row r="1647" spans="2:14" x14ac:dyDescent="0.25">
      <c r="B1647" s="19">
        <v>44041</v>
      </c>
      <c r="C1647">
        <v>32.450000000000003</v>
      </c>
      <c r="E1647" s="19">
        <v>44041</v>
      </c>
      <c r="F1647">
        <v>35.799999999999997</v>
      </c>
      <c r="H1647" s="19">
        <v>44041</v>
      </c>
      <c r="I1647">
        <v>8.65</v>
      </c>
      <c r="K1647" s="19"/>
      <c r="N1647" s="19"/>
    </row>
    <row r="1648" spans="2:14" x14ac:dyDescent="0.25">
      <c r="B1648" s="19">
        <v>44042</v>
      </c>
      <c r="C1648">
        <v>31.93</v>
      </c>
      <c r="E1648" s="19">
        <v>44042</v>
      </c>
      <c r="F1648">
        <v>34.380000000000003</v>
      </c>
      <c r="H1648" s="19">
        <v>44042</v>
      </c>
      <c r="I1648">
        <v>8.2439999999999998</v>
      </c>
      <c r="K1648" s="19"/>
      <c r="N1648" s="19"/>
    </row>
    <row r="1649" spans="2:14" x14ac:dyDescent="0.25">
      <c r="B1649" s="19">
        <v>44043</v>
      </c>
      <c r="C1649">
        <v>31.3</v>
      </c>
      <c r="E1649" s="19">
        <v>44043</v>
      </c>
      <c r="F1649">
        <v>34.115000000000002</v>
      </c>
      <c r="H1649" s="19">
        <v>44043</v>
      </c>
      <c r="I1649">
        <v>8.1259999999999994</v>
      </c>
      <c r="K1649" s="19"/>
      <c r="N1649" s="19"/>
    </row>
    <row r="1650" spans="2:14" x14ac:dyDescent="0.25">
      <c r="B1650" s="19">
        <v>44046</v>
      </c>
      <c r="C1650">
        <v>32.4</v>
      </c>
      <c r="E1650" s="19">
        <v>44046</v>
      </c>
      <c r="F1650">
        <v>35.46</v>
      </c>
      <c r="H1650" s="19">
        <v>44046</v>
      </c>
      <c r="I1650">
        <v>8.3719999999999999</v>
      </c>
      <c r="K1650" s="19"/>
      <c r="N1650" s="19"/>
    </row>
    <row r="1651" spans="2:14" x14ac:dyDescent="0.25">
      <c r="B1651" s="19">
        <v>44047</v>
      </c>
      <c r="C1651">
        <v>33.200000000000003</v>
      </c>
      <c r="E1651" s="19">
        <v>44047</v>
      </c>
      <c r="F1651">
        <v>36.185000000000002</v>
      </c>
      <c r="H1651" s="19">
        <v>44047</v>
      </c>
      <c r="I1651">
        <v>8.5359999999999996</v>
      </c>
      <c r="K1651" s="19"/>
      <c r="N1651" s="19"/>
    </row>
    <row r="1652" spans="2:14" x14ac:dyDescent="0.25">
      <c r="B1652" s="19">
        <v>44048</v>
      </c>
      <c r="C1652">
        <v>33.840000000000003</v>
      </c>
      <c r="E1652" s="19">
        <v>44048</v>
      </c>
      <c r="F1652">
        <v>35.945</v>
      </c>
      <c r="H1652" s="19">
        <v>44048</v>
      </c>
      <c r="I1652">
        <v>8.5340000000000007</v>
      </c>
      <c r="K1652" s="19"/>
      <c r="N1652" s="19"/>
    </row>
    <row r="1653" spans="2:14" x14ac:dyDescent="0.25">
      <c r="B1653" s="19">
        <v>44049</v>
      </c>
      <c r="C1653">
        <v>33.045000000000002</v>
      </c>
      <c r="E1653" s="19">
        <v>44049</v>
      </c>
      <c r="F1653">
        <v>35.835000000000001</v>
      </c>
      <c r="H1653" s="19">
        <v>44049</v>
      </c>
      <c r="I1653">
        <v>8.4420000000000002</v>
      </c>
      <c r="K1653" s="19"/>
      <c r="N1653" s="19"/>
    </row>
    <row r="1654" spans="2:14" x14ac:dyDescent="0.25">
      <c r="B1654" s="19">
        <v>44050</v>
      </c>
      <c r="C1654">
        <v>32.795000000000002</v>
      </c>
      <c r="E1654" s="19">
        <v>44050</v>
      </c>
      <c r="F1654">
        <v>35.479999999999997</v>
      </c>
      <c r="H1654" s="19">
        <v>44050</v>
      </c>
      <c r="I1654">
        <v>8.4540000000000006</v>
      </c>
      <c r="K1654" s="19"/>
      <c r="N1654" s="19"/>
    </row>
    <row r="1655" spans="2:14" x14ac:dyDescent="0.25">
      <c r="B1655" s="19">
        <v>44053</v>
      </c>
      <c r="C1655">
        <v>33.24</v>
      </c>
      <c r="E1655" s="19">
        <v>44053</v>
      </c>
      <c r="F1655">
        <v>35.814999999999998</v>
      </c>
      <c r="H1655" s="19">
        <v>44053</v>
      </c>
      <c r="I1655">
        <v>8.6120000000000001</v>
      </c>
      <c r="K1655" s="19"/>
      <c r="N1655" s="19"/>
    </row>
    <row r="1656" spans="2:14" x14ac:dyDescent="0.25">
      <c r="B1656" s="19">
        <v>44054</v>
      </c>
      <c r="C1656">
        <v>34.19</v>
      </c>
      <c r="E1656" s="19">
        <v>44054</v>
      </c>
      <c r="F1656">
        <v>37.49</v>
      </c>
      <c r="H1656" s="19">
        <v>44054</v>
      </c>
      <c r="I1656">
        <v>9.0299999999999994</v>
      </c>
      <c r="K1656" s="19"/>
      <c r="N1656" s="19"/>
    </row>
    <row r="1657" spans="2:14" x14ac:dyDescent="0.25">
      <c r="B1657" s="19">
        <v>44055</v>
      </c>
      <c r="C1657">
        <v>34.42</v>
      </c>
      <c r="E1657" s="19">
        <v>44055</v>
      </c>
      <c r="F1657">
        <v>37.825000000000003</v>
      </c>
      <c r="H1657" s="19">
        <v>44055</v>
      </c>
      <c r="I1657">
        <v>9.0879999999999992</v>
      </c>
      <c r="K1657" s="19"/>
      <c r="N1657" s="19"/>
    </row>
    <row r="1658" spans="2:14" x14ac:dyDescent="0.25">
      <c r="B1658" s="19">
        <v>44056</v>
      </c>
      <c r="C1658">
        <v>33.99</v>
      </c>
      <c r="E1658" s="19">
        <v>44056</v>
      </c>
      <c r="F1658">
        <v>36.99</v>
      </c>
      <c r="H1658" s="19">
        <v>44056</v>
      </c>
      <c r="I1658">
        <v>8.9060000000000006</v>
      </c>
      <c r="K1658" s="19"/>
      <c r="N1658" s="19"/>
    </row>
    <row r="1659" spans="2:14" x14ac:dyDescent="0.25">
      <c r="B1659" s="19">
        <v>44057</v>
      </c>
      <c r="C1659">
        <v>33.5</v>
      </c>
      <c r="E1659" s="19">
        <v>44057</v>
      </c>
      <c r="F1659">
        <v>36.659999999999997</v>
      </c>
      <c r="H1659" s="19">
        <v>44057</v>
      </c>
      <c r="I1659">
        <v>8.7880000000000003</v>
      </c>
      <c r="K1659" s="19"/>
      <c r="N1659" s="19"/>
    </row>
    <row r="1660" spans="2:14" x14ac:dyDescent="0.25">
      <c r="B1660" s="19">
        <v>44060</v>
      </c>
      <c r="C1660">
        <v>33.29</v>
      </c>
      <c r="E1660" s="19">
        <v>44060</v>
      </c>
      <c r="F1660">
        <v>36.295000000000002</v>
      </c>
      <c r="H1660" s="19">
        <v>44060</v>
      </c>
      <c r="I1660">
        <v>8.6920000000000002</v>
      </c>
      <c r="K1660" s="19"/>
      <c r="N1660" s="19"/>
    </row>
    <row r="1661" spans="2:14" x14ac:dyDescent="0.25">
      <c r="B1661" s="19">
        <v>44061</v>
      </c>
      <c r="C1661">
        <v>32.805</v>
      </c>
      <c r="E1661" s="19">
        <v>44061</v>
      </c>
      <c r="F1661">
        <v>35.89</v>
      </c>
      <c r="H1661" s="19">
        <v>44061</v>
      </c>
      <c r="I1661">
        <v>8.5679999999999996</v>
      </c>
      <c r="K1661" s="19"/>
      <c r="N1661" s="19"/>
    </row>
    <row r="1662" spans="2:14" x14ac:dyDescent="0.25">
      <c r="B1662" s="19">
        <v>44062</v>
      </c>
      <c r="C1662">
        <v>33.08</v>
      </c>
      <c r="E1662" s="19">
        <v>44062</v>
      </c>
      <c r="F1662">
        <v>36.835000000000001</v>
      </c>
      <c r="H1662" s="19">
        <v>44062</v>
      </c>
      <c r="I1662">
        <v>8.6980000000000004</v>
      </c>
      <c r="K1662" s="19"/>
      <c r="N1662" s="19"/>
    </row>
    <row r="1663" spans="2:14" x14ac:dyDescent="0.25">
      <c r="B1663" s="19">
        <v>44063</v>
      </c>
      <c r="C1663">
        <v>32.520000000000003</v>
      </c>
      <c r="E1663" s="19">
        <v>44063</v>
      </c>
      <c r="F1663">
        <v>35.954999999999998</v>
      </c>
      <c r="H1663" s="19">
        <v>44063</v>
      </c>
      <c r="I1663">
        <v>8.4619999999999997</v>
      </c>
      <c r="K1663" s="19"/>
      <c r="N1663" s="19"/>
    </row>
    <row r="1664" spans="2:14" x14ac:dyDescent="0.25">
      <c r="B1664" s="19">
        <v>44064</v>
      </c>
      <c r="C1664">
        <v>32.36</v>
      </c>
      <c r="E1664" s="19">
        <v>44064</v>
      </c>
      <c r="F1664">
        <v>35.36</v>
      </c>
      <c r="H1664" s="19">
        <v>44064</v>
      </c>
      <c r="I1664">
        <v>8.3320000000000007</v>
      </c>
      <c r="K1664" s="19"/>
      <c r="N1664" s="19"/>
    </row>
    <row r="1665" spans="2:14" x14ac:dyDescent="0.25">
      <c r="B1665" s="19">
        <v>44067</v>
      </c>
      <c r="C1665">
        <v>33.625</v>
      </c>
      <c r="E1665" s="19">
        <v>44067</v>
      </c>
      <c r="F1665">
        <v>36.284999999999997</v>
      </c>
      <c r="H1665" s="19">
        <v>44067</v>
      </c>
      <c r="I1665">
        <v>8.5739999999999998</v>
      </c>
      <c r="K1665" s="19"/>
      <c r="N1665" s="19"/>
    </row>
    <row r="1666" spans="2:14" x14ac:dyDescent="0.25">
      <c r="B1666" s="19">
        <v>44068</v>
      </c>
      <c r="C1666">
        <v>33.26</v>
      </c>
      <c r="E1666" s="19">
        <v>44068</v>
      </c>
      <c r="F1666">
        <v>36.36</v>
      </c>
      <c r="H1666" s="19">
        <v>44068</v>
      </c>
      <c r="I1666">
        <v>8.5960000000000001</v>
      </c>
      <c r="K1666" s="19"/>
      <c r="N1666" s="19"/>
    </row>
    <row r="1667" spans="2:14" x14ac:dyDescent="0.25">
      <c r="B1667" s="19">
        <v>44069</v>
      </c>
      <c r="C1667">
        <v>33.365000000000002</v>
      </c>
      <c r="E1667" s="19">
        <v>44069</v>
      </c>
      <c r="F1667">
        <v>36.9</v>
      </c>
      <c r="H1667" s="19">
        <v>44069</v>
      </c>
      <c r="I1667">
        <v>8.6660000000000004</v>
      </c>
      <c r="K1667" s="19"/>
      <c r="N1667" s="19"/>
    </row>
    <row r="1668" spans="2:14" x14ac:dyDescent="0.25">
      <c r="B1668" s="19">
        <v>44070</v>
      </c>
      <c r="C1668">
        <v>33.28</v>
      </c>
      <c r="E1668" s="19">
        <v>44070</v>
      </c>
      <c r="F1668">
        <v>36.49</v>
      </c>
      <c r="H1668" s="19">
        <v>44070</v>
      </c>
      <c r="I1668">
        <v>8.6159999999999997</v>
      </c>
      <c r="K1668" s="19"/>
      <c r="N1668" s="19"/>
    </row>
    <row r="1669" spans="2:14" x14ac:dyDescent="0.25">
      <c r="B1669" s="19">
        <v>44071</v>
      </c>
      <c r="C1669">
        <v>33.299999999999997</v>
      </c>
      <c r="E1669" s="19">
        <v>44071</v>
      </c>
      <c r="F1669">
        <v>37.805</v>
      </c>
      <c r="H1669" s="19">
        <v>44071</v>
      </c>
      <c r="I1669">
        <v>8.8960000000000008</v>
      </c>
      <c r="K1669" s="19"/>
      <c r="N1669" s="19"/>
    </row>
    <row r="1670" spans="2:14" x14ac:dyDescent="0.25">
      <c r="B1670" s="19">
        <v>44074</v>
      </c>
      <c r="C1670">
        <v>33.1</v>
      </c>
      <c r="E1670" s="19">
        <v>44074</v>
      </c>
      <c r="F1670">
        <v>36.564999999999998</v>
      </c>
      <c r="H1670" s="19">
        <v>44074</v>
      </c>
      <c r="I1670">
        <v>8.5879999999999992</v>
      </c>
      <c r="K1670" s="19"/>
      <c r="N1670" s="19"/>
    </row>
    <row r="1671" spans="2:14" x14ac:dyDescent="0.25">
      <c r="B1671" s="19">
        <v>44075</v>
      </c>
      <c r="C1671">
        <v>32.950000000000003</v>
      </c>
      <c r="E1671" s="19">
        <v>44075</v>
      </c>
      <c r="F1671">
        <v>36.085000000000001</v>
      </c>
      <c r="H1671" s="19">
        <v>44075</v>
      </c>
      <c r="I1671">
        <v>8.5139999999999993</v>
      </c>
      <c r="K1671" s="19"/>
      <c r="N1671" s="19"/>
    </row>
    <row r="1672" spans="2:14" x14ac:dyDescent="0.25">
      <c r="B1672" s="19">
        <v>44076</v>
      </c>
      <c r="C1672">
        <v>33.29</v>
      </c>
      <c r="E1672" s="19">
        <v>44076</v>
      </c>
      <c r="F1672">
        <v>35.880000000000003</v>
      </c>
      <c r="H1672" s="19">
        <v>44076</v>
      </c>
      <c r="I1672">
        <v>8.4359999999999999</v>
      </c>
      <c r="K1672" s="19"/>
      <c r="N1672" s="19"/>
    </row>
    <row r="1673" spans="2:14" x14ac:dyDescent="0.25">
      <c r="B1673" s="19">
        <v>44077</v>
      </c>
      <c r="C1673">
        <v>33.21</v>
      </c>
      <c r="E1673" s="19">
        <v>44077</v>
      </c>
      <c r="F1673">
        <v>36.15</v>
      </c>
      <c r="H1673" s="19">
        <v>44077</v>
      </c>
      <c r="I1673">
        <v>8.4380000000000006</v>
      </c>
      <c r="K1673" s="19"/>
      <c r="N1673" s="19"/>
    </row>
    <row r="1674" spans="2:14" x14ac:dyDescent="0.25">
      <c r="B1674" s="19">
        <v>44078</v>
      </c>
      <c r="C1674">
        <v>32.965000000000003</v>
      </c>
      <c r="E1674" s="19">
        <v>44078</v>
      </c>
      <c r="F1674">
        <v>37.225000000000001</v>
      </c>
      <c r="H1674" s="19">
        <v>44078</v>
      </c>
      <c r="I1674">
        <v>8.67</v>
      </c>
      <c r="K1674" s="19"/>
      <c r="N1674" s="19"/>
    </row>
    <row r="1675" spans="2:14" x14ac:dyDescent="0.25">
      <c r="B1675" s="19">
        <v>44081</v>
      </c>
      <c r="C1675">
        <v>33.575000000000003</v>
      </c>
      <c r="E1675" s="19">
        <v>44081</v>
      </c>
      <c r="F1675">
        <v>37.4</v>
      </c>
      <c r="H1675" s="19">
        <v>44081</v>
      </c>
      <c r="I1675">
        <v>8.7439999999999998</v>
      </c>
      <c r="K1675" s="19"/>
      <c r="N1675" s="19"/>
    </row>
    <row r="1676" spans="2:14" x14ac:dyDescent="0.25">
      <c r="B1676" s="19">
        <v>44082</v>
      </c>
      <c r="C1676">
        <v>32.35</v>
      </c>
      <c r="E1676" s="19">
        <v>44082</v>
      </c>
      <c r="F1676">
        <v>36.424999999999997</v>
      </c>
      <c r="H1676" s="19">
        <v>44082</v>
      </c>
      <c r="I1676">
        <v>8.516</v>
      </c>
      <c r="K1676" s="19"/>
      <c r="N1676" s="19"/>
    </row>
    <row r="1677" spans="2:14" x14ac:dyDescent="0.25">
      <c r="B1677" s="19">
        <v>44083</v>
      </c>
      <c r="C1677">
        <v>32.74</v>
      </c>
      <c r="E1677" s="19">
        <v>44083</v>
      </c>
      <c r="F1677">
        <v>36.79</v>
      </c>
      <c r="H1677" s="19">
        <v>44083</v>
      </c>
      <c r="I1677">
        <v>8.6579999999999995</v>
      </c>
      <c r="K1677" s="19"/>
      <c r="N1677" s="19"/>
    </row>
    <row r="1678" spans="2:14" x14ac:dyDescent="0.25">
      <c r="B1678" s="19">
        <v>44084</v>
      </c>
      <c r="C1678">
        <v>32.734999999999999</v>
      </c>
      <c r="E1678" s="19">
        <v>44084</v>
      </c>
      <c r="F1678">
        <v>37.005000000000003</v>
      </c>
      <c r="H1678" s="19">
        <v>44084</v>
      </c>
      <c r="I1678">
        <v>8.6859999999999999</v>
      </c>
      <c r="K1678" s="19"/>
      <c r="N1678" s="19"/>
    </row>
    <row r="1679" spans="2:14" x14ac:dyDescent="0.25">
      <c r="B1679" s="19">
        <v>44085</v>
      </c>
      <c r="C1679">
        <v>32.515000000000001</v>
      </c>
      <c r="E1679" s="19">
        <v>44085</v>
      </c>
      <c r="F1679">
        <v>36.11</v>
      </c>
      <c r="H1679" s="19">
        <v>44085</v>
      </c>
      <c r="I1679">
        <v>8.5239999999999991</v>
      </c>
      <c r="K1679" s="19"/>
      <c r="N1679" s="19"/>
    </row>
    <row r="1680" spans="2:14" x14ac:dyDescent="0.25">
      <c r="B1680" s="19">
        <v>44088</v>
      </c>
      <c r="C1680">
        <v>32.024999999999999</v>
      </c>
      <c r="E1680" s="19">
        <v>44088</v>
      </c>
      <c r="F1680">
        <v>36.57</v>
      </c>
      <c r="H1680" s="19">
        <v>44088</v>
      </c>
      <c r="I1680">
        <v>8.6419999999999995</v>
      </c>
      <c r="K1680" s="19"/>
      <c r="N1680" s="19"/>
    </row>
    <row r="1681" spans="2:14" x14ac:dyDescent="0.25">
      <c r="B1681" s="19">
        <v>44089</v>
      </c>
      <c r="C1681">
        <v>32.314999999999998</v>
      </c>
      <c r="E1681" s="19">
        <v>44089</v>
      </c>
      <c r="F1681">
        <v>35.835000000000001</v>
      </c>
      <c r="H1681" s="19">
        <v>44089</v>
      </c>
      <c r="I1681">
        <v>8.5380000000000003</v>
      </c>
      <c r="K1681" s="19"/>
      <c r="N1681" s="19"/>
    </row>
    <row r="1682" spans="2:14" x14ac:dyDescent="0.25">
      <c r="B1682" s="19">
        <v>44090</v>
      </c>
      <c r="C1682">
        <v>32.19</v>
      </c>
      <c r="E1682" s="19">
        <v>44090</v>
      </c>
      <c r="F1682">
        <v>35.71</v>
      </c>
      <c r="H1682" s="19">
        <v>44090</v>
      </c>
      <c r="I1682">
        <v>8.4480000000000004</v>
      </c>
      <c r="K1682" s="19"/>
      <c r="N1682" s="19"/>
    </row>
    <row r="1683" spans="2:14" x14ac:dyDescent="0.25">
      <c r="B1683" s="19">
        <v>44091</v>
      </c>
      <c r="C1683">
        <v>31.535</v>
      </c>
      <c r="E1683" s="19">
        <v>44091</v>
      </c>
      <c r="F1683">
        <v>35.424999999999997</v>
      </c>
      <c r="H1683" s="19">
        <v>44091</v>
      </c>
      <c r="I1683">
        <v>8.36</v>
      </c>
      <c r="K1683" s="19"/>
      <c r="N1683" s="19"/>
    </row>
    <row r="1684" spans="2:14" x14ac:dyDescent="0.25">
      <c r="B1684" s="19">
        <v>44092</v>
      </c>
      <c r="C1684">
        <v>31.11</v>
      </c>
      <c r="E1684" s="19">
        <v>44092</v>
      </c>
      <c r="F1684">
        <v>34.594999999999999</v>
      </c>
      <c r="H1684" s="19">
        <v>44092</v>
      </c>
      <c r="I1684">
        <v>8.0960000000000001</v>
      </c>
      <c r="K1684" s="19"/>
      <c r="N1684" s="19"/>
    </row>
    <row r="1685" spans="2:14" x14ac:dyDescent="0.25">
      <c r="B1685" s="19">
        <v>44095</v>
      </c>
      <c r="C1685">
        <v>29.73</v>
      </c>
      <c r="E1685" s="19">
        <v>44095</v>
      </c>
      <c r="F1685">
        <v>32.39</v>
      </c>
      <c r="H1685" s="19">
        <v>44095</v>
      </c>
      <c r="I1685">
        <v>7.6619999999999999</v>
      </c>
      <c r="K1685" s="19"/>
      <c r="N1685" s="19"/>
    </row>
    <row r="1686" spans="2:14" x14ac:dyDescent="0.25">
      <c r="B1686" s="19">
        <v>44096</v>
      </c>
      <c r="C1686">
        <v>29.94</v>
      </c>
      <c r="E1686" s="19">
        <v>44096</v>
      </c>
      <c r="F1686">
        <v>32.22</v>
      </c>
      <c r="H1686" s="19">
        <v>44096</v>
      </c>
      <c r="I1686">
        <v>7.6180000000000003</v>
      </c>
      <c r="K1686" s="19"/>
      <c r="N1686" s="19"/>
    </row>
    <row r="1687" spans="2:14" x14ac:dyDescent="0.25">
      <c r="B1687" s="19">
        <v>44097</v>
      </c>
      <c r="C1687">
        <v>29.7</v>
      </c>
      <c r="E1687" s="19">
        <v>44097</v>
      </c>
      <c r="F1687">
        <v>31.454999999999998</v>
      </c>
      <c r="H1687" s="19">
        <v>44097</v>
      </c>
      <c r="I1687">
        <v>7.56</v>
      </c>
      <c r="K1687" s="19"/>
      <c r="N1687" s="19"/>
    </row>
    <row r="1688" spans="2:14" x14ac:dyDescent="0.25">
      <c r="B1688" s="19">
        <v>44098</v>
      </c>
      <c r="C1688">
        <v>29.024999999999999</v>
      </c>
      <c r="E1688" s="19">
        <v>44098</v>
      </c>
      <c r="F1688">
        <v>31.16</v>
      </c>
      <c r="H1688" s="19">
        <v>44098</v>
      </c>
      <c r="I1688">
        <v>7.4219999999999997</v>
      </c>
      <c r="K1688" s="19"/>
      <c r="N1688" s="19"/>
    </row>
    <row r="1689" spans="2:14" x14ac:dyDescent="0.25">
      <c r="B1689" s="19">
        <v>44099</v>
      </c>
      <c r="C1689">
        <v>28.06</v>
      </c>
      <c r="E1689" s="19">
        <v>44099</v>
      </c>
      <c r="F1689">
        <v>30.25</v>
      </c>
      <c r="H1689" s="19">
        <v>44099</v>
      </c>
      <c r="I1689">
        <v>7.1639999999999997</v>
      </c>
      <c r="K1689" s="19"/>
      <c r="N1689" s="19"/>
    </row>
    <row r="1690" spans="2:14" x14ac:dyDescent="0.25">
      <c r="B1690" s="19">
        <v>44102</v>
      </c>
      <c r="C1690">
        <v>28.8</v>
      </c>
      <c r="E1690" s="19">
        <v>44102</v>
      </c>
      <c r="F1690">
        <v>31.82</v>
      </c>
      <c r="H1690" s="19">
        <v>44102</v>
      </c>
      <c r="I1690">
        <v>7.5780000000000003</v>
      </c>
      <c r="K1690" s="19"/>
      <c r="N1690" s="19"/>
    </row>
    <row r="1691" spans="2:14" x14ac:dyDescent="0.25">
      <c r="B1691" s="19">
        <v>44103</v>
      </c>
      <c r="C1691">
        <v>28.33</v>
      </c>
      <c r="E1691" s="19">
        <v>44103</v>
      </c>
      <c r="F1691">
        <v>30.995000000000001</v>
      </c>
      <c r="H1691" s="19">
        <v>44103</v>
      </c>
      <c r="I1691">
        <v>7.4020000000000001</v>
      </c>
      <c r="K1691" s="19"/>
      <c r="N1691" s="19"/>
    </row>
    <row r="1692" spans="2:14" x14ac:dyDescent="0.25">
      <c r="B1692" s="19">
        <v>44104</v>
      </c>
      <c r="C1692">
        <v>29.2</v>
      </c>
      <c r="E1692" s="19">
        <v>44104</v>
      </c>
      <c r="F1692">
        <v>30.975000000000001</v>
      </c>
      <c r="H1692" s="19">
        <v>44104</v>
      </c>
      <c r="I1692">
        <v>7.4720000000000004</v>
      </c>
      <c r="K1692" s="19"/>
      <c r="N1692" s="19"/>
    </row>
    <row r="1693" spans="2:14" x14ac:dyDescent="0.25">
      <c r="B1693" s="19">
        <v>44105</v>
      </c>
      <c r="C1693">
        <v>28.49</v>
      </c>
      <c r="E1693" s="19">
        <v>44105</v>
      </c>
      <c r="F1693">
        <v>30.655000000000001</v>
      </c>
      <c r="H1693" s="19">
        <v>44105</v>
      </c>
      <c r="I1693">
        <v>7.3380000000000001</v>
      </c>
      <c r="K1693" s="19"/>
      <c r="N1693" s="19"/>
    </row>
    <row r="1694" spans="2:14" x14ac:dyDescent="0.25">
      <c r="B1694" s="19">
        <v>44106</v>
      </c>
      <c r="C1694">
        <v>28.21</v>
      </c>
      <c r="E1694" s="19">
        <v>44106</v>
      </c>
      <c r="F1694">
        <v>30.49</v>
      </c>
      <c r="H1694" s="19">
        <v>44106</v>
      </c>
      <c r="I1694">
        <v>7.2519999999999998</v>
      </c>
      <c r="K1694" s="19"/>
      <c r="N1694" s="19"/>
    </row>
    <row r="1695" spans="2:14" x14ac:dyDescent="0.25">
      <c r="B1695" s="19">
        <v>44109</v>
      </c>
      <c r="C1695">
        <v>28.855</v>
      </c>
      <c r="E1695" s="19">
        <v>44109</v>
      </c>
      <c r="F1695">
        <v>31.454999999999998</v>
      </c>
      <c r="H1695" s="19">
        <v>44109</v>
      </c>
      <c r="I1695">
        <v>7.3840000000000003</v>
      </c>
      <c r="K1695" s="19"/>
      <c r="N1695" s="19"/>
    </row>
    <row r="1696" spans="2:14" x14ac:dyDescent="0.25">
      <c r="B1696" s="19">
        <v>44110</v>
      </c>
      <c r="C1696">
        <v>29.52</v>
      </c>
      <c r="E1696" s="19">
        <v>44110</v>
      </c>
      <c r="F1696">
        <v>33.034999999999997</v>
      </c>
      <c r="H1696" s="19">
        <v>44110</v>
      </c>
      <c r="I1696">
        <v>7.77</v>
      </c>
      <c r="K1696" s="19"/>
      <c r="N1696" s="19"/>
    </row>
    <row r="1697" spans="2:14" x14ac:dyDescent="0.25">
      <c r="B1697" s="19">
        <v>44111</v>
      </c>
      <c r="C1697">
        <v>29.17</v>
      </c>
      <c r="E1697" s="19">
        <v>44111</v>
      </c>
      <c r="F1697">
        <v>33.104999999999997</v>
      </c>
      <c r="H1697" s="19">
        <v>44111</v>
      </c>
      <c r="I1697">
        <v>7.6660000000000004</v>
      </c>
      <c r="K1697" s="19"/>
      <c r="N1697" s="19"/>
    </row>
    <row r="1698" spans="2:14" x14ac:dyDescent="0.25">
      <c r="B1698" s="19">
        <v>44112</v>
      </c>
      <c r="C1698">
        <v>29.495000000000001</v>
      </c>
      <c r="E1698" s="19">
        <v>44112</v>
      </c>
      <c r="F1698">
        <v>33.72</v>
      </c>
      <c r="H1698" s="19">
        <v>44112</v>
      </c>
      <c r="I1698">
        <v>7.7779999999999996</v>
      </c>
      <c r="K1698" s="19"/>
      <c r="N1698" s="19"/>
    </row>
    <row r="1699" spans="2:14" x14ac:dyDescent="0.25">
      <c r="B1699" s="19">
        <v>44113</v>
      </c>
      <c r="C1699">
        <v>29.95</v>
      </c>
      <c r="E1699" s="19">
        <v>44113</v>
      </c>
      <c r="F1699">
        <v>33.42</v>
      </c>
      <c r="H1699" s="19">
        <v>44113</v>
      </c>
      <c r="I1699">
        <v>7.67</v>
      </c>
      <c r="K1699" s="19"/>
      <c r="N1699" s="19"/>
    </row>
    <row r="1700" spans="2:14" x14ac:dyDescent="0.25">
      <c r="B1700" s="19">
        <v>44116</v>
      </c>
      <c r="C1700">
        <v>29.68</v>
      </c>
      <c r="E1700" s="19">
        <v>44116</v>
      </c>
      <c r="F1700">
        <v>33.54</v>
      </c>
      <c r="H1700" s="19">
        <v>44116</v>
      </c>
      <c r="I1700">
        <v>7.71</v>
      </c>
      <c r="K1700" s="19"/>
      <c r="N1700" s="19"/>
    </row>
    <row r="1701" spans="2:14" x14ac:dyDescent="0.25">
      <c r="B1701" s="19">
        <v>44117</v>
      </c>
      <c r="C1701">
        <v>29.21</v>
      </c>
      <c r="E1701" s="19">
        <v>44117</v>
      </c>
      <c r="F1701">
        <v>32.174999999999997</v>
      </c>
      <c r="H1701" s="19">
        <v>44117</v>
      </c>
      <c r="I1701">
        <v>7.4180000000000001</v>
      </c>
      <c r="K1701" s="19"/>
      <c r="N1701" s="19"/>
    </row>
    <row r="1702" spans="2:14" x14ac:dyDescent="0.25">
      <c r="B1702" s="19">
        <v>44118</v>
      </c>
      <c r="C1702">
        <v>29.17</v>
      </c>
      <c r="E1702" s="19">
        <v>44118</v>
      </c>
      <c r="F1702">
        <v>32.549999999999997</v>
      </c>
      <c r="H1702" s="19">
        <v>44118</v>
      </c>
      <c r="I1702">
        <v>7.49</v>
      </c>
      <c r="K1702" s="19"/>
      <c r="N1702" s="19"/>
    </row>
    <row r="1703" spans="2:14" x14ac:dyDescent="0.25">
      <c r="B1703" s="19">
        <v>44119</v>
      </c>
      <c r="C1703">
        <v>28.215</v>
      </c>
      <c r="E1703" s="19">
        <v>44119</v>
      </c>
      <c r="F1703">
        <v>31.664999999999999</v>
      </c>
      <c r="H1703" s="19">
        <v>44119</v>
      </c>
      <c r="I1703">
        <v>7.2480000000000002</v>
      </c>
      <c r="K1703" s="19"/>
      <c r="N1703" s="19"/>
    </row>
    <row r="1704" spans="2:14" x14ac:dyDescent="0.25">
      <c r="B1704" s="19">
        <v>44120</v>
      </c>
      <c r="C1704">
        <v>28.454999999999998</v>
      </c>
      <c r="E1704" s="19">
        <v>44120</v>
      </c>
      <c r="F1704">
        <v>32.204999999999998</v>
      </c>
      <c r="H1704" s="19">
        <v>44120</v>
      </c>
      <c r="I1704">
        <v>7.3440000000000003</v>
      </c>
      <c r="K1704" s="19"/>
      <c r="N1704" s="19"/>
    </row>
    <row r="1705" spans="2:14" x14ac:dyDescent="0.25">
      <c r="B1705" s="19">
        <v>44123</v>
      </c>
      <c r="C1705">
        <v>28.355</v>
      </c>
      <c r="E1705" s="19">
        <v>44123</v>
      </c>
      <c r="F1705">
        <v>32.555</v>
      </c>
      <c r="H1705" s="19">
        <v>44123</v>
      </c>
      <c r="I1705">
        <v>7.3860000000000001</v>
      </c>
      <c r="K1705" s="19"/>
      <c r="N1705" s="19"/>
    </row>
    <row r="1706" spans="2:14" x14ac:dyDescent="0.25">
      <c r="B1706" s="19">
        <v>44124</v>
      </c>
      <c r="C1706">
        <v>28.23</v>
      </c>
      <c r="E1706" s="19">
        <v>44124</v>
      </c>
      <c r="F1706">
        <v>33.115000000000002</v>
      </c>
      <c r="H1706" s="19">
        <v>44124</v>
      </c>
      <c r="I1706">
        <v>7.4359999999999999</v>
      </c>
      <c r="K1706" s="19"/>
      <c r="N1706" s="19"/>
    </row>
    <row r="1707" spans="2:14" x14ac:dyDescent="0.25">
      <c r="B1707" s="19">
        <v>44125</v>
      </c>
      <c r="C1707">
        <v>27.774999999999999</v>
      </c>
      <c r="E1707" s="19">
        <v>44125</v>
      </c>
      <c r="F1707">
        <v>32.634999999999998</v>
      </c>
      <c r="H1707" s="19">
        <v>44125</v>
      </c>
      <c r="I1707">
        <v>7.3239999999999998</v>
      </c>
      <c r="K1707" s="19"/>
      <c r="N1707" s="19"/>
    </row>
    <row r="1708" spans="2:14" x14ac:dyDescent="0.25">
      <c r="B1708" s="19">
        <v>44126</v>
      </c>
      <c r="C1708">
        <v>27.62</v>
      </c>
      <c r="E1708" s="19">
        <v>44126</v>
      </c>
      <c r="F1708">
        <v>32.585000000000001</v>
      </c>
      <c r="H1708" s="19">
        <v>44126</v>
      </c>
      <c r="I1708">
        <v>7.3780000000000001</v>
      </c>
      <c r="K1708" s="19"/>
      <c r="N1708" s="19"/>
    </row>
    <row r="1709" spans="2:14" x14ac:dyDescent="0.25">
      <c r="B1709" s="19">
        <v>44127</v>
      </c>
      <c r="C1709">
        <v>28.08</v>
      </c>
      <c r="E1709" s="19">
        <v>44127</v>
      </c>
      <c r="F1709">
        <v>33.5</v>
      </c>
      <c r="H1709" s="19">
        <v>44127</v>
      </c>
      <c r="I1709">
        <v>7.516</v>
      </c>
      <c r="K1709" s="19"/>
      <c r="N1709" s="19"/>
    </row>
    <row r="1710" spans="2:14" x14ac:dyDescent="0.25">
      <c r="B1710" s="19">
        <v>44130</v>
      </c>
      <c r="C1710">
        <v>27.055</v>
      </c>
      <c r="E1710" s="19">
        <v>44130</v>
      </c>
      <c r="F1710">
        <v>32.950000000000003</v>
      </c>
      <c r="H1710" s="19">
        <v>44130</v>
      </c>
      <c r="I1710">
        <v>7.3540000000000001</v>
      </c>
      <c r="K1710" s="19"/>
      <c r="N1710" s="19"/>
    </row>
    <row r="1711" spans="2:14" x14ac:dyDescent="0.25">
      <c r="B1711" s="19">
        <v>44131</v>
      </c>
      <c r="C1711">
        <v>26.184999999999999</v>
      </c>
      <c r="E1711" s="19">
        <v>44131</v>
      </c>
      <c r="F1711">
        <v>31.375</v>
      </c>
      <c r="H1711" s="19">
        <v>44131</v>
      </c>
      <c r="I1711">
        <v>7.0259999999999998</v>
      </c>
      <c r="K1711" s="19"/>
      <c r="N1711" s="19"/>
    </row>
    <row r="1712" spans="2:14" x14ac:dyDescent="0.25">
      <c r="B1712" s="19">
        <v>44132</v>
      </c>
      <c r="C1712">
        <v>25.27</v>
      </c>
      <c r="E1712" s="19">
        <v>44132</v>
      </c>
      <c r="F1712">
        <v>29.75</v>
      </c>
      <c r="H1712" s="19">
        <v>44132</v>
      </c>
      <c r="I1712">
        <v>6.72</v>
      </c>
      <c r="K1712" s="19"/>
      <c r="N1712" s="19"/>
    </row>
    <row r="1713" spans="2:14" x14ac:dyDescent="0.25">
      <c r="B1713" s="19">
        <v>44133</v>
      </c>
      <c r="C1713">
        <v>25.13</v>
      </c>
      <c r="E1713" s="19">
        <v>44133</v>
      </c>
      <c r="F1713">
        <v>29.305</v>
      </c>
      <c r="H1713" s="19">
        <v>44133</v>
      </c>
      <c r="I1713">
        <v>6.66</v>
      </c>
      <c r="K1713" s="19"/>
      <c r="N1713" s="19"/>
    </row>
    <row r="1714" spans="2:14" x14ac:dyDescent="0.25">
      <c r="B1714" s="19">
        <v>44134</v>
      </c>
      <c r="C1714">
        <v>25.82</v>
      </c>
      <c r="E1714" s="19">
        <v>44134</v>
      </c>
      <c r="F1714">
        <v>29.855</v>
      </c>
      <c r="H1714" s="19">
        <v>44134</v>
      </c>
      <c r="I1714">
        <v>6.782</v>
      </c>
      <c r="K1714" s="19"/>
      <c r="N1714" s="19"/>
    </row>
    <row r="1715" spans="2:14" x14ac:dyDescent="0.25">
      <c r="B1715" s="19">
        <v>44137</v>
      </c>
      <c r="C1715">
        <v>27.09</v>
      </c>
      <c r="E1715" s="19">
        <v>44137</v>
      </c>
      <c r="F1715">
        <v>31.125</v>
      </c>
      <c r="H1715" s="19">
        <v>44137</v>
      </c>
      <c r="I1715">
        <v>6.9820000000000002</v>
      </c>
      <c r="K1715" s="19"/>
      <c r="N1715" s="19"/>
    </row>
    <row r="1716" spans="2:14" x14ac:dyDescent="0.25">
      <c r="B1716" s="19">
        <v>44138</v>
      </c>
      <c r="C1716">
        <v>27.754999999999999</v>
      </c>
      <c r="E1716" s="19">
        <v>44138</v>
      </c>
      <c r="F1716">
        <v>33.03</v>
      </c>
      <c r="H1716" s="19">
        <v>44138</v>
      </c>
      <c r="I1716">
        <v>7.2859999999999996</v>
      </c>
      <c r="K1716" s="19"/>
      <c r="N1716" s="19"/>
    </row>
    <row r="1717" spans="2:14" x14ac:dyDescent="0.25">
      <c r="B1717" s="19">
        <v>44139</v>
      </c>
      <c r="C1717">
        <v>27.9</v>
      </c>
      <c r="E1717" s="19">
        <v>44139</v>
      </c>
      <c r="F1717">
        <v>33.119999999999997</v>
      </c>
      <c r="H1717" s="19">
        <v>44139</v>
      </c>
      <c r="I1717">
        <v>7.3760000000000003</v>
      </c>
      <c r="K1717" s="19"/>
      <c r="N1717" s="19"/>
    </row>
    <row r="1718" spans="2:14" x14ac:dyDescent="0.25">
      <c r="B1718" s="19">
        <v>44140</v>
      </c>
      <c r="C1718">
        <v>27.504999999999999</v>
      </c>
      <c r="E1718" s="19">
        <v>44140</v>
      </c>
      <c r="F1718">
        <v>33.880000000000003</v>
      </c>
      <c r="H1718" s="19">
        <v>44140</v>
      </c>
      <c r="I1718">
        <v>7.5460000000000003</v>
      </c>
      <c r="K1718" s="19"/>
      <c r="N1718" s="19"/>
    </row>
    <row r="1719" spans="2:14" x14ac:dyDescent="0.25">
      <c r="B1719" s="19">
        <v>44141</v>
      </c>
      <c r="C1719">
        <v>27.63</v>
      </c>
      <c r="E1719" s="19">
        <v>44141</v>
      </c>
      <c r="F1719">
        <v>33.229999999999997</v>
      </c>
      <c r="H1719" s="19">
        <v>44141</v>
      </c>
      <c r="I1719">
        <v>7.4340000000000002</v>
      </c>
      <c r="K1719" s="19"/>
      <c r="N1719" s="19"/>
    </row>
    <row r="1720" spans="2:14" x14ac:dyDescent="0.25">
      <c r="B1720" s="19">
        <v>44144</v>
      </c>
      <c r="C1720">
        <v>31.795000000000002</v>
      </c>
      <c r="E1720" s="19">
        <v>44144</v>
      </c>
      <c r="F1720">
        <v>39.204999999999998</v>
      </c>
      <c r="H1720" s="19">
        <v>44144</v>
      </c>
      <c r="I1720">
        <v>8.4499999999999993</v>
      </c>
      <c r="K1720" s="19"/>
      <c r="N1720" s="19"/>
    </row>
    <row r="1721" spans="2:14" x14ac:dyDescent="0.25">
      <c r="B1721" s="19">
        <v>44145</v>
      </c>
      <c r="C1721">
        <v>33.055</v>
      </c>
      <c r="E1721" s="19">
        <v>44145</v>
      </c>
      <c r="F1721">
        <v>42.2</v>
      </c>
      <c r="H1721" s="19">
        <v>44145</v>
      </c>
      <c r="I1721">
        <v>8.8480000000000008</v>
      </c>
      <c r="K1721" s="19"/>
      <c r="N1721" s="19"/>
    </row>
    <row r="1722" spans="2:14" x14ac:dyDescent="0.25">
      <c r="B1722" s="19">
        <v>44146</v>
      </c>
      <c r="C1722">
        <v>32.494999999999997</v>
      </c>
      <c r="E1722" s="19">
        <v>44146</v>
      </c>
      <c r="F1722">
        <v>41.09</v>
      </c>
      <c r="H1722" s="19">
        <v>44146</v>
      </c>
      <c r="I1722">
        <v>8.7560000000000002</v>
      </c>
      <c r="K1722" s="19"/>
      <c r="N1722" s="19"/>
    </row>
    <row r="1723" spans="2:14" x14ac:dyDescent="0.25">
      <c r="B1723" s="19">
        <v>44147</v>
      </c>
      <c r="C1723">
        <v>32.204999999999998</v>
      </c>
      <c r="E1723" s="19">
        <v>44147</v>
      </c>
      <c r="F1723">
        <v>39.545000000000002</v>
      </c>
      <c r="H1723" s="19">
        <v>44147</v>
      </c>
      <c r="I1723">
        <v>8.5440000000000005</v>
      </c>
      <c r="K1723" s="19"/>
      <c r="N1723" s="19"/>
    </row>
    <row r="1724" spans="2:14" x14ac:dyDescent="0.25">
      <c r="B1724" s="19">
        <v>44148</v>
      </c>
      <c r="C1724">
        <v>32.645000000000003</v>
      </c>
      <c r="E1724" s="19">
        <v>44148</v>
      </c>
      <c r="F1724">
        <v>39.914999999999999</v>
      </c>
      <c r="H1724" s="19">
        <v>44148</v>
      </c>
      <c r="I1724">
        <v>8.6300000000000008</v>
      </c>
      <c r="K1724" s="19"/>
      <c r="N1724" s="19"/>
    </row>
    <row r="1725" spans="2:14" x14ac:dyDescent="0.25">
      <c r="B1725" s="19">
        <v>44151</v>
      </c>
      <c r="C1725">
        <v>34.234999999999999</v>
      </c>
      <c r="E1725" s="19">
        <v>44151</v>
      </c>
      <c r="F1725">
        <v>40.6</v>
      </c>
      <c r="H1725" s="19">
        <v>44151</v>
      </c>
      <c r="I1725">
        <v>8.7940000000000005</v>
      </c>
      <c r="K1725" s="19"/>
      <c r="N1725" s="19"/>
    </row>
    <row r="1726" spans="2:14" x14ac:dyDescent="0.25">
      <c r="B1726" s="19">
        <v>44152</v>
      </c>
      <c r="C1726">
        <v>34.634999999999998</v>
      </c>
      <c r="E1726" s="19">
        <v>44152</v>
      </c>
      <c r="F1726">
        <v>40.924999999999997</v>
      </c>
      <c r="H1726" s="19">
        <v>44152</v>
      </c>
      <c r="I1726">
        <v>8.8219999999999992</v>
      </c>
      <c r="K1726" s="19"/>
      <c r="N1726" s="19"/>
    </row>
    <row r="1727" spans="2:14" x14ac:dyDescent="0.25">
      <c r="B1727" s="19">
        <v>44153</v>
      </c>
      <c r="C1727">
        <v>34.770000000000003</v>
      </c>
      <c r="E1727" s="19">
        <v>44153</v>
      </c>
      <c r="F1727">
        <v>41.13</v>
      </c>
      <c r="H1727" s="19">
        <v>44153</v>
      </c>
      <c r="I1727">
        <v>8.9239999999999995</v>
      </c>
      <c r="K1727" s="19"/>
      <c r="N1727" s="19"/>
    </row>
    <row r="1728" spans="2:14" x14ac:dyDescent="0.25">
      <c r="B1728" s="19">
        <v>44154</v>
      </c>
      <c r="C1728">
        <v>34.11</v>
      </c>
      <c r="E1728" s="19">
        <v>44154</v>
      </c>
      <c r="F1728">
        <v>40.805</v>
      </c>
      <c r="H1728" s="19">
        <v>44154</v>
      </c>
      <c r="I1728">
        <v>8.8719999999999999</v>
      </c>
      <c r="K1728" s="19"/>
      <c r="N1728" s="19"/>
    </row>
    <row r="1729" spans="2:14" x14ac:dyDescent="0.25">
      <c r="B1729" s="19">
        <v>44155</v>
      </c>
      <c r="C1729">
        <v>34.5</v>
      </c>
      <c r="E1729" s="19">
        <v>44155</v>
      </c>
      <c r="F1729">
        <v>40.950000000000003</v>
      </c>
      <c r="H1729" s="19">
        <v>44155</v>
      </c>
      <c r="I1729">
        <v>8.9480000000000004</v>
      </c>
      <c r="K1729" s="19"/>
      <c r="N1729" s="19"/>
    </row>
    <row r="1730" spans="2:14" x14ac:dyDescent="0.25">
      <c r="B1730" s="19">
        <v>44158</v>
      </c>
      <c r="C1730">
        <v>36.119999999999997</v>
      </c>
      <c r="E1730" s="19">
        <v>44158</v>
      </c>
      <c r="F1730">
        <v>41.49</v>
      </c>
      <c r="H1730" s="19">
        <v>44158</v>
      </c>
      <c r="I1730">
        <v>9.3119999999999994</v>
      </c>
      <c r="K1730" s="19"/>
      <c r="N1730" s="19"/>
    </row>
    <row r="1731" spans="2:14" x14ac:dyDescent="0.25">
      <c r="B1731" s="19">
        <v>44159</v>
      </c>
      <c r="C1731">
        <v>38.164999999999999</v>
      </c>
      <c r="E1731" s="19">
        <v>44159</v>
      </c>
      <c r="F1731">
        <v>43.734999999999999</v>
      </c>
      <c r="H1731" s="19">
        <v>44159</v>
      </c>
      <c r="I1731">
        <v>9.8219999999999992</v>
      </c>
      <c r="K1731" s="19"/>
      <c r="N1731" s="19"/>
    </row>
    <row r="1732" spans="2:14" x14ac:dyDescent="0.25">
      <c r="B1732" s="19">
        <v>44160</v>
      </c>
      <c r="C1732">
        <v>37.774999999999999</v>
      </c>
      <c r="E1732" s="19">
        <v>44160</v>
      </c>
      <c r="F1732">
        <v>43.755000000000003</v>
      </c>
      <c r="H1732" s="19">
        <v>44160</v>
      </c>
      <c r="I1732">
        <v>9.8740000000000006</v>
      </c>
      <c r="K1732" s="19"/>
      <c r="N1732" s="19"/>
    </row>
    <row r="1733" spans="2:14" x14ac:dyDescent="0.25">
      <c r="B1733" s="19">
        <v>44161</v>
      </c>
      <c r="C1733">
        <v>37.365000000000002</v>
      </c>
      <c r="E1733" s="19">
        <v>44161</v>
      </c>
      <c r="F1733">
        <v>43.365000000000002</v>
      </c>
      <c r="H1733" s="19">
        <v>44161</v>
      </c>
      <c r="I1733">
        <v>9.8279999999999994</v>
      </c>
      <c r="K1733" s="19"/>
      <c r="N1733" s="19"/>
    </row>
    <row r="1734" spans="2:14" x14ac:dyDescent="0.25">
      <c r="B1734" s="19">
        <v>44162</v>
      </c>
      <c r="C1734">
        <v>37.700000000000003</v>
      </c>
      <c r="E1734" s="19">
        <v>44162</v>
      </c>
      <c r="F1734">
        <v>43.825000000000003</v>
      </c>
      <c r="H1734" s="19">
        <v>44162</v>
      </c>
      <c r="I1734">
        <v>9.8640000000000008</v>
      </c>
      <c r="K1734" s="19"/>
      <c r="N1734" s="19"/>
    </row>
    <row r="1735" spans="2:14" x14ac:dyDescent="0.25">
      <c r="B1735" s="19">
        <v>44165</v>
      </c>
      <c r="C1735">
        <v>35.825000000000003</v>
      </c>
      <c r="E1735" s="19">
        <v>44165</v>
      </c>
      <c r="F1735">
        <v>42.965000000000003</v>
      </c>
      <c r="H1735" s="19">
        <v>44165</v>
      </c>
      <c r="I1735">
        <v>9.6739999999999995</v>
      </c>
      <c r="K1735" s="19"/>
      <c r="N1735" s="19"/>
    </row>
    <row r="1736" spans="2:14" x14ac:dyDescent="0.25">
      <c r="B1736" s="19">
        <v>44166</v>
      </c>
      <c r="C1736">
        <v>36.33</v>
      </c>
      <c r="E1736" s="19">
        <v>44166</v>
      </c>
      <c r="F1736">
        <v>44.204999999999998</v>
      </c>
      <c r="H1736" s="19">
        <v>44166</v>
      </c>
      <c r="I1736">
        <v>10.205</v>
      </c>
      <c r="K1736" s="19"/>
      <c r="N1736" s="19"/>
    </row>
    <row r="1737" spans="2:14" x14ac:dyDescent="0.25">
      <c r="B1737" s="19">
        <v>44167</v>
      </c>
      <c r="C1737">
        <v>36.71</v>
      </c>
      <c r="E1737" s="19">
        <v>44167</v>
      </c>
      <c r="F1737">
        <v>44.95</v>
      </c>
      <c r="H1737" s="19">
        <v>44167</v>
      </c>
      <c r="I1737">
        <v>10.375</v>
      </c>
      <c r="K1737" s="19"/>
      <c r="N1737" s="19"/>
    </row>
    <row r="1738" spans="2:14" x14ac:dyDescent="0.25">
      <c r="B1738" s="19">
        <v>44168</v>
      </c>
      <c r="C1738">
        <v>36.465000000000003</v>
      </c>
      <c r="E1738" s="19">
        <v>44168</v>
      </c>
      <c r="F1738">
        <v>44.875</v>
      </c>
      <c r="H1738" s="19">
        <v>44168</v>
      </c>
      <c r="I1738">
        <v>10.625</v>
      </c>
      <c r="K1738" s="19"/>
      <c r="N1738" s="19"/>
    </row>
    <row r="1739" spans="2:14" x14ac:dyDescent="0.25">
      <c r="B1739" s="19">
        <v>44169</v>
      </c>
      <c r="C1739">
        <v>37.69</v>
      </c>
      <c r="E1739" s="19">
        <v>44169</v>
      </c>
      <c r="F1739">
        <v>45.74</v>
      </c>
      <c r="H1739" s="19">
        <v>44169</v>
      </c>
      <c r="I1739">
        <v>11.05</v>
      </c>
      <c r="K1739" s="19"/>
      <c r="N1739" s="19"/>
    </row>
    <row r="1740" spans="2:14" x14ac:dyDescent="0.25">
      <c r="B1740" s="19">
        <v>44172</v>
      </c>
      <c r="C1740">
        <v>37.159999999999997</v>
      </c>
      <c r="E1740" s="19">
        <v>44172</v>
      </c>
      <c r="F1740">
        <v>44.505000000000003</v>
      </c>
      <c r="H1740" s="19">
        <v>44172</v>
      </c>
      <c r="I1740">
        <v>10.73</v>
      </c>
      <c r="K1740" s="19"/>
      <c r="N1740" s="19"/>
    </row>
    <row r="1741" spans="2:14" x14ac:dyDescent="0.25">
      <c r="B1741" s="19">
        <v>44173</v>
      </c>
      <c r="C1741">
        <v>36.950000000000003</v>
      </c>
      <c r="E1741" s="19">
        <v>44173</v>
      </c>
      <c r="F1741">
        <v>44.284999999999997</v>
      </c>
      <c r="H1741" s="19">
        <v>44173</v>
      </c>
      <c r="I1741">
        <v>10.445</v>
      </c>
      <c r="K1741" s="19"/>
      <c r="N1741" s="19"/>
    </row>
    <row r="1742" spans="2:14" x14ac:dyDescent="0.25">
      <c r="B1742" s="19">
        <v>44174</v>
      </c>
      <c r="C1742">
        <v>36.895000000000003</v>
      </c>
      <c r="E1742" s="19">
        <v>44174</v>
      </c>
      <c r="F1742">
        <v>44.545000000000002</v>
      </c>
      <c r="H1742" s="19">
        <v>44174</v>
      </c>
      <c r="I1742">
        <v>10.46</v>
      </c>
      <c r="K1742" s="19"/>
      <c r="N1742" s="19"/>
    </row>
    <row r="1743" spans="2:14" x14ac:dyDescent="0.25">
      <c r="B1743" s="19">
        <v>44175</v>
      </c>
      <c r="C1743">
        <v>37.664999999999999</v>
      </c>
      <c r="E1743" s="19">
        <v>44175</v>
      </c>
      <c r="F1743">
        <v>43.46</v>
      </c>
      <c r="H1743" s="19">
        <v>44175</v>
      </c>
      <c r="I1743">
        <v>10.365</v>
      </c>
      <c r="K1743" s="19"/>
      <c r="N1743" s="19"/>
    </row>
    <row r="1744" spans="2:14" x14ac:dyDescent="0.25">
      <c r="B1744" s="19">
        <v>44176</v>
      </c>
      <c r="C1744">
        <v>37.020000000000003</v>
      </c>
      <c r="E1744" s="19">
        <v>44176</v>
      </c>
      <c r="F1744">
        <v>43.115000000000002</v>
      </c>
      <c r="H1744" s="19">
        <v>44176</v>
      </c>
      <c r="I1744">
        <v>10.3</v>
      </c>
      <c r="K1744" s="19"/>
      <c r="N1744" s="19"/>
    </row>
    <row r="1745" spans="2:14" x14ac:dyDescent="0.25">
      <c r="B1745" s="19">
        <v>44179</v>
      </c>
      <c r="C1745">
        <v>36.6</v>
      </c>
      <c r="E1745" s="19">
        <v>44179</v>
      </c>
      <c r="F1745">
        <v>44.15</v>
      </c>
      <c r="H1745" s="19">
        <v>44179</v>
      </c>
      <c r="I1745">
        <v>10.484999999999999</v>
      </c>
      <c r="K1745" s="19"/>
      <c r="N1745" s="19"/>
    </row>
    <row r="1746" spans="2:14" x14ac:dyDescent="0.25">
      <c r="B1746" s="19">
        <v>44180</v>
      </c>
      <c r="C1746">
        <v>36.56</v>
      </c>
      <c r="E1746" s="19">
        <v>44180</v>
      </c>
      <c r="F1746">
        <v>45.234999999999999</v>
      </c>
      <c r="H1746" s="19">
        <v>44180</v>
      </c>
      <c r="I1746">
        <v>10.675000000000001</v>
      </c>
      <c r="K1746" s="19"/>
      <c r="N1746" s="19"/>
    </row>
    <row r="1747" spans="2:14" x14ac:dyDescent="0.25">
      <c r="B1747" s="19">
        <v>44181</v>
      </c>
      <c r="C1747">
        <v>36.484999999999999</v>
      </c>
      <c r="E1747" s="19">
        <v>44181</v>
      </c>
      <c r="F1747">
        <v>44.174999999999997</v>
      </c>
      <c r="H1747" s="19">
        <v>44181</v>
      </c>
      <c r="I1747">
        <v>10.48</v>
      </c>
      <c r="K1747" s="19"/>
      <c r="N1747" s="19"/>
    </row>
    <row r="1748" spans="2:14" x14ac:dyDescent="0.25">
      <c r="B1748" s="19">
        <v>44182</v>
      </c>
      <c r="C1748">
        <v>36.384999999999998</v>
      </c>
      <c r="E1748" s="19">
        <v>44182</v>
      </c>
      <c r="F1748">
        <v>44.045000000000002</v>
      </c>
      <c r="H1748" s="19">
        <v>44182</v>
      </c>
      <c r="I1748">
        <v>10.49</v>
      </c>
      <c r="K1748" s="19"/>
      <c r="N1748" s="19"/>
    </row>
    <row r="1749" spans="2:14" x14ac:dyDescent="0.25">
      <c r="B1749" s="19">
        <v>44183</v>
      </c>
      <c r="C1749">
        <v>35.99</v>
      </c>
      <c r="E1749" s="19">
        <v>44183</v>
      </c>
      <c r="F1749">
        <v>43.564999999999998</v>
      </c>
      <c r="H1749" s="19">
        <v>44183</v>
      </c>
      <c r="I1749">
        <v>10.3</v>
      </c>
      <c r="K1749" s="19"/>
      <c r="N1749" s="19"/>
    </row>
    <row r="1750" spans="2:14" x14ac:dyDescent="0.25">
      <c r="B1750" s="19">
        <v>44186</v>
      </c>
      <c r="C1750">
        <v>34.65</v>
      </c>
      <c r="E1750" s="19">
        <v>44186</v>
      </c>
      <c r="F1750">
        <v>41.715000000000003</v>
      </c>
      <c r="H1750" s="19">
        <v>44186</v>
      </c>
      <c r="I1750">
        <v>9.952</v>
      </c>
      <c r="K1750" s="19"/>
      <c r="N1750" s="19"/>
    </row>
    <row r="1751" spans="2:14" x14ac:dyDescent="0.25">
      <c r="B1751" s="19">
        <v>44187</v>
      </c>
      <c r="C1751">
        <v>34.89</v>
      </c>
      <c r="E1751" s="19">
        <v>44187</v>
      </c>
      <c r="F1751">
        <v>42.484999999999999</v>
      </c>
      <c r="H1751" s="19">
        <v>44187</v>
      </c>
      <c r="I1751">
        <v>10.15</v>
      </c>
      <c r="K1751" s="19"/>
      <c r="N1751" s="19"/>
    </row>
    <row r="1752" spans="2:14" x14ac:dyDescent="0.25">
      <c r="B1752" s="19">
        <v>44188</v>
      </c>
      <c r="C1752">
        <v>35.865000000000002</v>
      </c>
      <c r="E1752" s="19">
        <v>44188</v>
      </c>
      <c r="F1752">
        <v>43.835000000000001</v>
      </c>
      <c r="H1752" s="19">
        <v>44188</v>
      </c>
      <c r="I1752">
        <v>10.46</v>
      </c>
      <c r="K1752" s="19"/>
      <c r="N1752" s="19"/>
    </row>
    <row r="1753" spans="2:14" x14ac:dyDescent="0.25">
      <c r="B1753" s="19">
        <v>44189</v>
      </c>
      <c r="C1753">
        <v>35.89</v>
      </c>
      <c r="E1753" s="19">
        <v>44189</v>
      </c>
      <c r="F1753">
        <v>43.795000000000002</v>
      </c>
      <c r="H1753" s="19">
        <v>44189</v>
      </c>
      <c r="I1753">
        <v>10.52</v>
      </c>
      <c r="K1753" s="19"/>
      <c r="N1753" s="19"/>
    </row>
    <row r="1754" spans="2:14" x14ac:dyDescent="0.25">
      <c r="B1754" s="19">
        <v>44193</v>
      </c>
      <c r="C1754">
        <v>35.854999999999997</v>
      </c>
      <c r="E1754" s="19">
        <v>44193</v>
      </c>
      <c r="F1754">
        <v>43.63</v>
      </c>
      <c r="H1754" s="19">
        <v>44193</v>
      </c>
      <c r="I1754">
        <v>10.45</v>
      </c>
      <c r="K1754" s="19"/>
      <c r="N1754" s="19"/>
    </row>
    <row r="1755" spans="2:14" x14ac:dyDescent="0.25">
      <c r="B1755" s="19">
        <v>44194</v>
      </c>
      <c r="C1755">
        <v>35.770000000000003</v>
      </c>
      <c r="E1755" s="19">
        <v>44194</v>
      </c>
      <c r="F1755">
        <v>43.645000000000003</v>
      </c>
      <c r="H1755" s="19">
        <v>44194</v>
      </c>
      <c r="I1755">
        <v>10.455</v>
      </c>
      <c r="K1755" s="19"/>
      <c r="N1755" s="19"/>
    </row>
    <row r="1756" spans="2:14" x14ac:dyDescent="0.25">
      <c r="B1756" s="19">
        <v>44195</v>
      </c>
      <c r="C1756">
        <v>35.590000000000003</v>
      </c>
      <c r="E1756" s="19">
        <v>44195</v>
      </c>
      <c r="F1756">
        <v>43.305</v>
      </c>
      <c r="H1756" s="19">
        <v>44195</v>
      </c>
      <c r="I1756">
        <v>10.365</v>
      </c>
      <c r="K1756" s="19"/>
      <c r="N1756" s="19"/>
    </row>
    <row r="1757" spans="2:14" x14ac:dyDescent="0.25">
      <c r="B1757" s="19">
        <v>44196</v>
      </c>
      <c r="C1757">
        <v>35.299999999999997</v>
      </c>
      <c r="E1757" s="19">
        <v>44196</v>
      </c>
      <c r="F1757">
        <v>43.104999999999997</v>
      </c>
      <c r="H1757" s="19">
        <v>44196</v>
      </c>
      <c r="I1757">
        <v>10.32</v>
      </c>
      <c r="K1757" s="19"/>
      <c r="N1757" s="19"/>
    </row>
    <row r="1758" spans="2:14" x14ac:dyDescent="0.25">
      <c r="B1758" s="19">
        <v>44200</v>
      </c>
      <c r="C1758">
        <v>34.585000000000001</v>
      </c>
      <c r="E1758" s="19">
        <v>44200</v>
      </c>
      <c r="F1758">
        <v>43.01</v>
      </c>
      <c r="H1758" s="19">
        <v>44200</v>
      </c>
      <c r="I1758">
        <v>10.220000000000001</v>
      </c>
      <c r="K1758" s="19"/>
      <c r="N1758" s="19"/>
    </row>
    <row r="1759" spans="2:14" x14ac:dyDescent="0.25">
      <c r="B1759" s="19">
        <v>44201</v>
      </c>
      <c r="C1759">
        <v>35.494999999999997</v>
      </c>
      <c r="E1759" s="19">
        <v>44201</v>
      </c>
      <c r="F1759">
        <v>42.92</v>
      </c>
      <c r="H1759" s="19">
        <v>44201</v>
      </c>
      <c r="I1759">
        <v>10.255000000000001</v>
      </c>
      <c r="K1759" s="19"/>
      <c r="N1759" s="19"/>
    </row>
    <row r="1760" spans="2:14" x14ac:dyDescent="0.25">
      <c r="B1760" s="19">
        <v>44202</v>
      </c>
      <c r="C1760">
        <v>37.055</v>
      </c>
      <c r="E1760" s="19">
        <v>44202</v>
      </c>
      <c r="F1760">
        <v>45.29</v>
      </c>
      <c r="H1760" s="19">
        <v>44202</v>
      </c>
      <c r="I1760">
        <v>10.67</v>
      </c>
      <c r="K1760" s="19"/>
      <c r="N1760" s="19"/>
    </row>
    <row r="1761" spans="2:14" x14ac:dyDescent="0.25">
      <c r="B1761" s="19">
        <v>44203</v>
      </c>
      <c r="C1761">
        <v>37.46</v>
      </c>
      <c r="E1761" s="19">
        <v>44203</v>
      </c>
      <c r="F1761">
        <v>46.31</v>
      </c>
      <c r="H1761" s="19">
        <v>44203</v>
      </c>
      <c r="I1761">
        <v>10.75</v>
      </c>
      <c r="K1761" s="19"/>
      <c r="N1761" s="19"/>
    </row>
    <row r="1762" spans="2:14" x14ac:dyDescent="0.25">
      <c r="B1762" s="19">
        <v>44204</v>
      </c>
      <c r="C1762">
        <v>37.484999999999999</v>
      </c>
      <c r="E1762" s="19">
        <v>44204</v>
      </c>
      <c r="F1762">
        <v>45.284999999999997</v>
      </c>
      <c r="H1762" s="19">
        <v>44204</v>
      </c>
      <c r="I1762">
        <v>10.67</v>
      </c>
      <c r="K1762" s="19"/>
      <c r="N1762" s="19"/>
    </row>
    <row r="1763" spans="2:14" x14ac:dyDescent="0.25">
      <c r="B1763" s="19">
        <v>44207</v>
      </c>
      <c r="C1763">
        <v>36.914999999999999</v>
      </c>
      <c r="E1763" s="19">
        <v>44207</v>
      </c>
      <c r="F1763">
        <v>44.98</v>
      </c>
      <c r="H1763" s="19">
        <v>44207</v>
      </c>
      <c r="I1763">
        <v>10.525</v>
      </c>
      <c r="K1763" s="19"/>
      <c r="N1763" s="19"/>
    </row>
    <row r="1764" spans="2:14" x14ac:dyDescent="0.25">
      <c r="B1764" s="19">
        <v>44208</v>
      </c>
      <c r="C1764">
        <v>37.049999999999997</v>
      </c>
      <c r="E1764" s="19">
        <v>44208</v>
      </c>
      <c r="F1764">
        <v>45.34</v>
      </c>
      <c r="H1764" s="19">
        <v>44208</v>
      </c>
      <c r="I1764">
        <v>10.66</v>
      </c>
      <c r="K1764" s="19"/>
      <c r="N1764" s="19"/>
    </row>
    <row r="1765" spans="2:14" x14ac:dyDescent="0.25">
      <c r="B1765" s="19">
        <v>44209</v>
      </c>
      <c r="C1765">
        <v>37.435000000000002</v>
      </c>
      <c r="E1765" s="19">
        <v>44209</v>
      </c>
      <c r="F1765">
        <v>45.024999999999999</v>
      </c>
      <c r="H1765" s="19">
        <v>44209</v>
      </c>
      <c r="I1765">
        <v>10.605</v>
      </c>
      <c r="K1765" s="19"/>
      <c r="N1765" s="19"/>
    </row>
    <row r="1766" spans="2:14" x14ac:dyDescent="0.25">
      <c r="B1766" s="19">
        <v>44210</v>
      </c>
      <c r="C1766">
        <v>37.799999999999997</v>
      </c>
      <c r="E1766" s="19">
        <v>44210</v>
      </c>
      <c r="F1766">
        <v>45.13</v>
      </c>
      <c r="H1766" s="19">
        <v>44210</v>
      </c>
      <c r="I1766">
        <v>10.42</v>
      </c>
      <c r="K1766" s="19"/>
      <c r="N1766" s="19"/>
    </row>
    <row r="1767" spans="2:14" x14ac:dyDescent="0.25">
      <c r="B1767" s="19">
        <v>44211</v>
      </c>
      <c r="C1767">
        <v>37.094999999999999</v>
      </c>
      <c r="E1767" s="19">
        <v>44211</v>
      </c>
      <c r="F1767">
        <v>44.435000000000002</v>
      </c>
      <c r="H1767" s="19">
        <v>44211</v>
      </c>
      <c r="I1767">
        <v>10.175000000000001</v>
      </c>
      <c r="K1767" s="19"/>
      <c r="N1767" s="19"/>
    </row>
    <row r="1768" spans="2:14" x14ac:dyDescent="0.25">
      <c r="B1768" s="19">
        <v>44214</v>
      </c>
      <c r="C1768">
        <v>36.979999999999997</v>
      </c>
      <c r="E1768" s="19">
        <v>44214</v>
      </c>
      <c r="F1768">
        <v>44.805</v>
      </c>
      <c r="H1768" s="19">
        <v>44214</v>
      </c>
      <c r="I1768">
        <v>10.28</v>
      </c>
      <c r="K1768" s="19"/>
      <c r="N1768" s="19"/>
    </row>
    <row r="1769" spans="2:14" x14ac:dyDescent="0.25">
      <c r="B1769" s="19">
        <v>44215</v>
      </c>
      <c r="C1769">
        <v>37.15</v>
      </c>
      <c r="E1769" s="19">
        <v>44215</v>
      </c>
      <c r="F1769">
        <v>44.11</v>
      </c>
      <c r="H1769" s="19">
        <v>44215</v>
      </c>
      <c r="I1769">
        <v>10.050000000000001</v>
      </c>
      <c r="K1769" s="19"/>
      <c r="N1769" s="19"/>
    </row>
    <row r="1770" spans="2:14" x14ac:dyDescent="0.25">
      <c r="B1770" s="19">
        <v>44216</v>
      </c>
      <c r="C1770">
        <v>37.344999999999999</v>
      </c>
      <c r="E1770" s="19">
        <v>44216</v>
      </c>
      <c r="F1770">
        <v>44.42</v>
      </c>
      <c r="H1770" s="19">
        <v>44216</v>
      </c>
      <c r="I1770">
        <v>10.205</v>
      </c>
      <c r="K1770" s="19"/>
      <c r="N1770" s="19"/>
    </row>
    <row r="1771" spans="2:14" x14ac:dyDescent="0.25">
      <c r="B1771" s="19">
        <v>44217</v>
      </c>
      <c r="C1771">
        <v>36.475000000000001</v>
      </c>
      <c r="E1771" s="19">
        <v>44217</v>
      </c>
      <c r="F1771">
        <v>44.34</v>
      </c>
      <c r="H1771" s="19">
        <v>44217</v>
      </c>
      <c r="I1771">
        <v>10.06</v>
      </c>
      <c r="K1771" s="19"/>
      <c r="N1771" s="19"/>
    </row>
    <row r="1772" spans="2:14" x14ac:dyDescent="0.25">
      <c r="B1772" s="19">
        <v>44218</v>
      </c>
      <c r="C1772">
        <v>36.22</v>
      </c>
      <c r="E1772" s="19">
        <v>44218</v>
      </c>
      <c r="F1772">
        <v>43.085000000000001</v>
      </c>
      <c r="H1772" s="19">
        <v>44218</v>
      </c>
      <c r="I1772">
        <v>9.9220000000000006</v>
      </c>
      <c r="K1772" s="19"/>
      <c r="N1772" s="19"/>
    </row>
    <row r="1773" spans="2:14" x14ac:dyDescent="0.25">
      <c r="B1773" s="19">
        <v>44221</v>
      </c>
      <c r="C1773">
        <v>35.35</v>
      </c>
      <c r="E1773" s="19">
        <v>44221</v>
      </c>
      <c r="F1773">
        <v>41.23</v>
      </c>
      <c r="H1773" s="19">
        <v>44221</v>
      </c>
      <c r="I1773">
        <v>9.5</v>
      </c>
      <c r="K1773" s="19"/>
      <c r="N1773" s="19"/>
    </row>
    <row r="1774" spans="2:14" x14ac:dyDescent="0.25">
      <c r="B1774" s="19">
        <v>44222</v>
      </c>
      <c r="C1774">
        <v>35.979999999999997</v>
      </c>
      <c r="E1774" s="19">
        <v>44222</v>
      </c>
      <c r="F1774">
        <v>41.99</v>
      </c>
      <c r="H1774" s="19">
        <v>44222</v>
      </c>
      <c r="I1774">
        <v>9.6739999999999995</v>
      </c>
      <c r="K1774" s="19"/>
      <c r="N1774" s="19"/>
    </row>
    <row r="1775" spans="2:14" x14ac:dyDescent="0.25">
      <c r="B1775" s="19">
        <v>44223</v>
      </c>
      <c r="C1775">
        <v>35.825000000000003</v>
      </c>
      <c r="E1775" s="19">
        <v>44223</v>
      </c>
      <c r="F1775">
        <v>40.524999999999999</v>
      </c>
      <c r="H1775" s="19">
        <v>44223</v>
      </c>
      <c r="I1775">
        <v>9.4280000000000008</v>
      </c>
      <c r="K1775" s="19"/>
      <c r="N1775" s="19"/>
    </row>
    <row r="1776" spans="2:14" x14ac:dyDescent="0.25">
      <c r="B1776" s="19">
        <v>44224</v>
      </c>
      <c r="C1776">
        <v>35.814999999999998</v>
      </c>
      <c r="E1776" s="19">
        <v>44224</v>
      </c>
      <c r="F1776">
        <v>41.204999999999998</v>
      </c>
      <c r="H1776" s="19">
        <v>44224</v>
      </c>
      <c r="I1776">
        <v>9.57</v>
      </c>
      <c r="K1776" s="19"/>
      <c r="N1776" s="19"/>
    </row>
    <row r="1777" spans="2:14" x14ac:dyDescent="0.25">
      <c r="B1777" s="19">
        <v>44225</v>
      </c>
      <c r="C1777">
        <v>34.895000000000003</v>
      </c>
      <c r="E1777" s="19">
        <v>44225</v>
      </c>
      <c r="F1777">
        <v>39.78</v>
      </c>
      <c r="H1777" s="19">
        <v>44225</v>
      </c>
      <c r="I1777">
        <v>9.3800000000000008</v>
      </c>
      <c r="K1777" s="19"/>
      <c r="N1777" s="19"/>
    </row>
    <row r="1778" spans="2:14" x14ac:dyDescent="0.25">
      <c r="B1778" s="19">
        <v>44228</v>
      </c>
      <c r="C1778">
        <v>34.555</v>
      </c>
      <c r="E1778" s="19">
        <v>44228</v>
      </c>
      <c r="F1778">
        <v>40.18</v>
      </c>
      <c r="H1778" s="19">
        <v>44228</v>
      </c>
      <c r="I1778">
        <v>9.516</v>
      </c>
      <c r="K1778" s="19"/>
      <c r="N1778" s="19"/>
    </row>
    <row r="1779" spans="2:14" x14ac:dyDescent="0.25">
      <c r="B1779" s="19">
        <v>44229</v>
      </c>
      <c r="C1779">
        <v>34.869999999999997</v>
      </c>
      <c r="E1779" s="19">
        <v>44229</v>
      </c>
      <c r="F1779">
        <v>41.604999999999997</v>
      </c>
      <c r="H1779" s="19">
        <v>44229</v>
      </c>
      <c r="I1779">
        <v>9.7959999999999994</v>
      </c>
      <c r="K1779" s="19"/>
      <c r="N1779" s="19"/>
    </row>
    <row r="1780" spans="2:14" x14ac:dyDescent="0.25">
      <c r="B1780" s="19">
        <v>44230</v>
      </c>
      <c r="C1780">
        <v>35.14</v>
      </c>
      <c r="E1780" s="19">
        <v>44230</v>
      </c>
      <c r="F1780">
        <v>41.9</v>
      </c>
      <c r="H1780" s="19">
        <v>44230</v>
      </c>
      <c r="I1780">
        <v>9.8719999999999999</v>
      </c>
      <c r="K1780" s="19"/>
      <c r="N1780" s="19"/>
    </row>
    <row r="1781" spans="2:14" x14ac:dyDescent="0.25">
      <c r="B1781" s="19">
        <v>44231</v>
      </c>
      <c r="C1781">
        <v>34.935000000000002</v>
      </c>
      <c r="E1781" s="19">
        <v>44231</v>
      </c>
      <c r="F1781">
        <v>42.484999999999999</v>
      </c>
      <c r="H1781" s="19">
        <v>44231</v>
      </c>
      <c r="I1781">
        <v>9.9540000000000006</v>
      </c>
      <c r="K1781" s="19"/>
      <c r="N1781" s="19"/>
    </row>
    <row r="1782" spans="2:14" x14ac:dyDescent="0.25">
      <c r="B1782" s="19">
        <v>44232</v>
      </c>
      <c r="C1782">
        <v>35.07</v>
      </c>
      <c r="E1782" s="19">
        <v>44232</v>
      </c>
      <c r="F1782">
        <v>43.594999999999999</v>
      </c>
      <c r="H1782" s="19">
        <v>44232</v>
      </c>
      <c r="I1782">
        <v>10.135</v>
      </c>
      <c r="K1782" s="19"/>
      <c r="N1782" s="19"/>
    </row>
    <row r="1783" spans="2:14" x14ac:dyDescent="0.25">
      <c r="B1783" s="19">
        <v>44235</v>
      </c>
      <c r="C1783">
        <v>35.18</v>
      </c>
      <c r="E1783" s="19">
        <v>44235</v>
      </c>
      <c r="F1783">
        <v>44.12</v>
      </c>
      <c r="H1783" s="19">
        <v>44235</v>
      </c>
      <c r="I1783">
        <v>10.220000000000001</v>
      </c>
      <c r="K1783" s="19"/>
      <c r="N1783" s="19"/>
    </row>
    <row r="1784" spans="2:14" x14ac:dyDescent="0.25">
      <c r="B1784" s="19">
        <v>44236</v>
      </c>
      <c r="C1784">
        <v>34.564999999999998</v>
      </c>
      <c r="E1784" s="19">
        <v>44236</v>
      </c>
      <c r="F1784">
        <v>43.92</v>
      </c>
      <c r="H1784" s="19">
        <v>44236</v>
      </c>
      <c r="I1784">
        <v>10.135</v>
      </c>
      <c r="K1784" s="19"/>
      <c r="N1784" s="19"/>
    </row>
    <row r="1785" spans="2:14" x14ac:dyDescent="0.25">
      <c r="B1785" s="19">
        <v>44237</v>
      </c>
      <c r="C1785">
        <v>34.744999999999997</v>
      </c>
      <c r="E1785" s="19">
        <v>44237</v>
      </c>
      <c r="F1785">
        <v>45.134999999999998</v>
      </c>
      <c r="H1785" s="19">
        <v>44237</v>
      </c>
      <c r="I1785">
        <v>10.220000000000001</v>
      </c>
      <c r="K1785" s="19"/>
      <c r="N1785" s="19"/>
    </row>
    <row r="1786" spans="2:14" x14ac:dyDescent="0.25">
      <c r="B1786" s="19">
        <v>44238</v>
      </c>
      <c r="C1786">
        <v>34.64</v>
      </c>
      <c r="E1786" s="19">
        <v>44238</v>
      </c>
      <c r="F1786">
        <v>45.695</v>
      </c>
      <c r="H1786" s="19">
        <v>44238</v>
      </c>
      <c r="I1786">
        <v>10.725</v>
      </c>
      <c r="K1786" s="19"/>
      <c r="N1786" s="19"/>
    </row>
    <row r="1787" spans="2:14" x14ac:dyDescent="0.25">
      <c r="B1787" s="19">
        <v>44239</v>
      </c>
      <c r="C1787">
        <v>34.975000000000001</v>
      </c>
      <c r="E1787" s="19">
        <v>44239</v>
      </c>
      <c r="F1787">
        <v>46.48</v>
      </c>
      <c r="H1787" s="19">
        <v>44239</v>
      </c>
      <c r="I1787">
        <v>10.875</v>
      </c>
      <c r="K1787" s="19"/>
      <c r="N1787" s="19"/>
    </row>
    <row r="1788" spans="2:14" x14ac:dyDescent="0.25">
      <c r="B1788" s="19">
        <v>44242</v>
      </c>
      <c r="C1788">
        <v>36.54</v>
      </c>
      <c r="E1788" s="19">
        <v>44242</v>
      </c>
      <c r="F1788">
        <v>47.55</v>
      </c>
      <c r="H1788" s="19">
        <v>44242</v>
      </c>
      <c r="I1788">
        <v>11.095000000000001</v>
      </c>
      <c r="K1788" s="19"/>
      <c r="N1788" s="19"/>
    </row>
    <row r="1789" spans="2:14" x14ac:dyDescent="0.25">
      <c r="B1789" s="19">
        <v>44243</v>
      </c>
      <c r="C1789">
        <v>36.395000000000003</v>
      </c>
      <c r="E1789" s="19">
        <v>44243</v>
      </c>
      <c r="F1789">
        <v>47.61</v>
      </c>
      <c r="H1789" s="19">
        <v>44243</v>
      </c>
      <c r="I1789">
        <v>11.154999999999999</v>
      </c>
      <c r="K1789" s="19"/>
      <c r="N1789" s="19"/>
    </row>
    <row r="1790" spans="2:14" x14ac:dyDescent="0.25">
      <c r="B1790" s="19">
        <v>44244</v>
      </c>
      <c r="C1790">
        <v>36.965000000000003</v>
      </c>
      <c r="E1790" s="19">
        <v>44244</v>
      </c>
      <c r="F1790">
        <v>47.65</v>
      </c>
      <c r="H1790" s="19">
        <v>44244</v>
      </c>
      <c r="I1790">
        <v>11.185</v>
      </c>
      <c r="K1790" s="19"/>
      <c r="N1790" s="19"/>
    </row>
    <row r="1791" spans="2:14" x14ac:dyDescent="0.25">
      <c r="B1791" s="19">
        <v>44245</v>
      </c>
      <c r="C1791">
        <v>36.575000000000003</v>
      </c>
      <c r="E1791" s="19">
        <v>44245</v>
      </c>
      <c r="F1791">
        <v>47.075000000000003</v>
      </c>
      <c r="H1791" s="19">
        <v>44245</v>
      </c>
      <c r="I1791">
        <v>11.035</v>
      </c>
      <c r="K1791" s="19"/>
      <c r="N1791" s="19"/>
    </row>
    <row r="1792" spans="2:14" x14ac:dyDescent="0.25">
      <c r="B1792" s="19">
        <v>44246</v>
      </c>
      <c r="C1792">
        <v>36.950000000000003</v>
      </c>
      <c r="E1792" s="19">
        <v>44246</v>
      </c>
      <c r="F1792">
        <v>48.325000000000003</v>
      </c>
      <c r="H1792" s="19">
        <v>44246</v>
      </c>
      <c r="I1792">
        <v>11.324999999999999</v>
      </c>
      <c r="K1792" s="19"/>
      <c r="N1792" s="19"/>
    </row>
    <row r="1793" spans="2:14" x14ac:dyDescent="0.25">
      <c r="B1793" s="19">
        <v>44249</v>
      </c>
      <c r="C1793">
        <v>37.47</v>
      </c>
      <c r="E1793" s="19">
        <v>44249</v>
      </c>
      <c r="F1793">
        <v>49.3</v>
      </c>
      <c r="H1793" s="19">
        <v>44249</v>
      </c>
      <c r="I1793">
        <v>11.455</v>
      </c>
      <c r="K1793" s="19"/>
      <c r="N1793" s="19"/>
    </row>
    <row r="1794" spans="2:14" x14ac:dyDescent="0.25">
      <c r="B1794" s="19">
        <v>44250</v>
      </c>
      <c r="C1794">
        <v>38.31</v>
      </c>
      <c r="E1794" s="19">
        <v>44250</v>
      </c>
      <c r="F1794">
        <v>49.45</v>
      </c>
      <c r="H1794" s="19">
        <v>44250</v>
      </c>
      <c r="I1794">
        <v>11.36</v>
      </c>
      <c r="K1794" s="19"/>
      <c r="N1794" s="19"/>
    </row>
    <row r="1795" spans="2:14" x14ac:dyDescent="0.25">
      <c r="B1795" s="19">
        <v>44251</v>
      </c>
      <c r="C1795">
        <v>38.975000000000001</v>
      </c>
      <c r="E1795" s="19">
        <v>44251</v>
      </c>
      <c r="F1795">
        <v>50.17</v>
      </c>
      <c r="H1795" s="19">
        <v>44251</v>
      </c>
      <c r="I1795">
        <v>11.66</v>
      </c>
      <c r="K1795" s="19"/>
      <c r="N1795" s="19"/>
    </row>
    <row r="1796" spans="2:14" x14ac:dyDescent="0.25">
      <c r="B1796" s="19">
        <v>44252</v>
      </c>
      <c r="C1796">
        <v>39.454999999999998</v>
      </c>
      <c r="E1796" s="19">
        <v>44252</v>
      </c>
      <c r="F1796">
        <v>50.31</v>
      </c>
      <c r="H1796" s="19">
        <v>44252</v>
      </c>
      <c r="I1796">
        <v>11.8</v>
      </c>
      <c r="K1796" s="19"/>
      <c r="N1796" s="19"/>
    </row>
    <row r="1797" spans="2:14" x14ac:dyDescent="0.25">
      <c r="B1797" s="19">
        <v>44253</v>
      </c>
      <c r="C1797">
        <v>38.375</v>
      </c>
      <c r="E1797" s="19">
        <v>44253</v>
      </c>
      <c r="F1797">
        <v>49.274999999999999</v>
      </c>
      <c r="H1797" s="19">
        <v>44253</v>
      </c>
      <c r="I1797">
        <v>11.615</v>
      </c>
      <c r="K1797" s="19"/>
      <c r="N1797" s="19"/>
    </row>
    <row r="1798" spans="2:14" x14ac:dyDescent="0.25">
      <c r="B1798" s="19">
        <v>44256</v>
      </c>
      <c r="C1798">
        <v>38.835000000000001</v>
      </c>
      <c r="E1798" s="19">
        <v>44256</v>
      </c>
      <c r="F1798">
        <v>49.134999999999998</v>
      </c>
      <c r="H1798" s="19">
        <v>44256</v>
      </c>
      <c r="I1798">
        <v>11.78</v>
      </c>
      <c r="K1798" s="19"/>
      <c r="N1798" s="19"/>
    </row>
    <row r="1799" spans="2:14" x14ac:dyDescent="0.25">
      <c r="B1799" s="19">
        <v>44257</v>
      </c>
      <c r="C1799">
        <v>38.914999999999999</v>
      </c>
      <c r="E1799" s="19">
        <v>44257</v>
      </c>
      <c r="F1799">
        <v>50.45</v>
      </c>
      <c r="H1799" s="19">
        <v>44257</v>
      </c>
      <c r="I1799">
        <v>11.975</v>
      </c>
      <c r="K1799" s="19"/>
      <c r="N1799" s="19"/>
    </row>
    <row r="1800" spans="2:14" x14ac:dyDescent="0.25">
      <c r="B1800" s="19">
        <v>44258</v>
      </c>
      <c r="C1800">
        <v>39.31</v>
      </c>
      <c r="E1800" s="19">
        <v>44258</v>
      </c>
      <c r="F1800">
        <v>51.72</v>
      </c>
      <c r="H1800" s="19">
        <v>44258</v>
      </c>
      <c r="I1800">
        <v>12.27</v>
      </c>
      <c r="K1800" s="19"/>
      <c r="N1800" s="19"/>
    </row>
    <row r="1801" spans="2:14" x14ac:dyDescent="0.25">
      <c r="B1801" s="19">
        <v>44259</v>
      </c>
      <c r="C1801">
        <v>40.56</v>
      </c>
      <c r="E1801" s="19">
        <v>44259</v>
      </c>
      <c r="F1801">
        <v>51.65</v>
      </c>
      <c r="H1801" s="19">
        <v>44259</v>
      </c>
      <c r="I1801">
        <v>12.11</v>
      </c>
      <c r="K1801" s="19"/>
      <c r="N1801" s="19"/>
    </row>
    <row r="1802" spans="2:14" x14ac:dyDescent="0.25">
      <c r="B1802" s="19">
        <v>44260</v>
      </c>
      <c r="C1802">
        <v>40.975000000000001</v>
      </c>
      <c r="E1802" s="19">
        <v>44260</v>
      </c>
      <c r="F1802">
        <v>51.59</v>
      </c>
      <c r="H1802" s="19">
        <v>44260</v>
      </c>
      <c r="I1802">
        <v>12.215</v>
      </c>
      <c r="K1802" s="19"/>
      <c r="N1802" s="19"/>
    </row>
    <row r="1803" spans="2:14" x14ac:dyDescent="0.25">
      <c r="B1803" s="19">
        <v>44263</v>
      </c>
      <c r="C1803">
        <v>40.92</v>
      </c>
      <c r="E1803" s="19">
        <v>44263</v>
      </c>
      <c r="F1803">
        <v>53.25</v>
      </c>
      <c r="H1803" s="19">
        <v>44263</v>
      </c>
      <c r="I1803">
        <v>12.565</v>
      </c>
      <c r="K1803" s="19"/>
      <c r="N1803" s="19"/>
    </row>
    <row r="1804" spans="2:14" x14ac:dyDescent="0.25">
      <c r="B1804" s="19">
        <v>44264</v>
      </c>
      <c r="C1804">
        <v>40.664999999999999</v>
      </c>
      <c r="E1804" s="19">
        <v>44264</v>
      </c>
      <c r="F1804">
        <v>52.59</v>
      </c>
      <c r="H1804" s="19">
        <v>44264</v>
      </c>
      <c r="I1804">
        <v>12.375</v>
      </c>
      <c r="K1804" s="19"/>
      <c r="N1804" s="19"/>
    </row>
    <row r="1805" spans="2:14" x14ac:dyDescent="0.25">
      <c r="B1805" s="19">
        <v>44265</v>
      </c>
      <c r="C1805">
        <v>41.31</v>
      </c>
      <c r="E1805" s="19">
        <v>44265</v>
      </c>
      <c r="F1805">
        <v>52.76</v>
      </c>
      <c r="H1805" s="19">
        <v>44265</v>
      </c>
      <c r="I1805">
        <v>12.435</v>
      </c>
      <c r="K1805" s="19"/>
      <c r="N1805" s="19"/>
    </row>
    <row r="1806" spans="2:14" x14ac:dyDescent="0.25">
      <c r="B1806" s="19">
        <v>44266</v>
      </c>
      <c r="C1806">
        <v>41.74</v>
      </c>
      <c r="E1806" s="19">
        <v>44266</v>
      </c>
      <c r="F1806">
        <v>52.33</v>
      </c>
      <c r="H1806" s="19">
        <v>44266</v>
      </c>
      <c r="I1806">
        <v>12.195</v>
      </c>
      <c r="K1806" s="19"/>
      <c r="N1806" s="19"/>
    </row>
    <row r="1807" spans="2:14" x14ac:dyDescent="0.25">
      <c r="B1807" s="19">
        <v>44267</v>
      </c>
      <c r="C1807">
        <v>42.19</v>
      </c>
      <c r="E1807" s="19">
        <v>44267</v>
      </c>
      <c r="F1807">
        <v>53.08</v>
      </c>
      <c r="H1807" s="19">
        <v>44267</v>
      </c>
      <c r="I1807">
        <v>12.32</v>
      </c>
      <c r="K1807" s="19"/>
      <c r="N1807" s="19"/>
    </row>
    <row r="1808" spans="2:14" x14ac:dyDescent="0.25">
      <c r="B1808" s="19">
        <v>44270</v>
      </c>
      <c r="C1808">
        <v>41.29</v>
      </c>
      <c r="E1808" s="19">
        <v>44270</v>
      </c>
      <c r="F1808">
        <v>51.83</v>
      </c>
      <c r="H1808" s="19">
        <v>44270</v>
      </c>
      <c r="I1808">
        <v>12.16</v>
      </c>
      <c r="K1808" s="19"/>
      <c r="N1808" s="19"/>
    </row>
    <row r="1809" spans="2:14" x14ac:dyDescent="0.25">
      <c r="B1809" s="19">
        <v>44271</v>
      </c>
      <c r="C1809">
        <v>40.765000000000001</v>
      </c>
      <c r="E1809" s="19">
        <v>44271</v>
      </c>
      <c r="F1809">
        <v>51.19</v>
      </c>
      <c r="H1809" s="19">
        <v>44271</v>
      </c>
      <c r="I1809">
        <v>12.115</v>
      </c>
      <c r="K1809" s="19"/>
      <c r="N1809" s="19"/>
    </row>
    <row r="1810" spans="2:14" x14ac:dyDescent="0.25">
      <c r="B1810" s="19">
        <v>44272</v>
      </c>
      <c r="C1810">
        <v>40.61</v>
      </c>
      <c r="E1810" s="19">
        <v>44272</v>
      </c>
      <c r="F1810">
        <v>51.68</v>
      </c>
      <c r="H1810" s="19">
        <v>44272</v>
      </c>
      <c r="I1810">
        <v>12.17</v>
      </c>
      <c r="K1810" s="19"/>
      <c r="N1810" s="19"/>
    </row>
    <row r="1811" spans="2:14" x14ac:dyDescent="0.25">
      <c r="B1811" s="19">
        <v>44273</v>
      </c>
      <c r="C1811">
        <v>40.435000000000002</v>
      </c>
      <c r="E1811" s="19">
        <v>44273</v>
      </c>
      <c r="F1811">
        <v>52.89</v>
      </c>
      <c r="H1811" s="19">
        <v>44273</v>
      </c>
      <c r="I1811">
        <v>12.435</v>
      </c>
      <c r="K1811" s="19"/>
      <c r="N1811" s="19"/>
    </row>
    <row r="1812" spans="2:14" x14ac:dyDescent="0.25">
      <c r="B1812" s="19">
        <v>44274</v>
      </c>
      <c r="C1812">
        <v>40.229999999999997</v>
      </c>
      <c r="E1812" s="19">
        <v>44274</v>
      </c>
      <c r="F1812">
        <v>51.15</v>
      </c>
      <c r="H1812" s="19">
        <v>44274</v>
      </c>
      <c r="I1812">
        <v>12.115</v>
      </c>
      <c r="K1812" s="19"/>
      <c r="N1812" s="19"/>
    </row>
    <row r="1813" spans="2:14" x14ac:dyDescent="0.25">
      <c r="B1813" s="19">
        <v>44277</v>
      </c>
      <c r="C1813">
        <v>39.729999999999997</v>
      </c>
      <c r="E1813" s="19">
        <v>44277</v>
      </c>
      <c r="F1813">
        <v>50.71</v>
      </c>
      <c r="H1813" s="19">
        <v>44277</v>
      </c>
      <c r="I1813">
        <v>12.045</v>
      </c>
      <c r="K1813" s="19"/>
      <c r="N1813" s="19"/>
    </row>
    <row r="1814" spans="2:14" x14ac:dyDescent="0.25">
      <c r="B1814" s="19">
        <v>44278</v>
      </c>
      <c r="C1814">
        <v>39.44</v>
      </c>
      <c r="E1814" s="19">
        <v>44278</v>
      </c>
      <c r="F1814">
        <v>50.36</v>
      </c>
      <c r="H1814" s="19">
        <v>44278</v>
      </c>
      <c r="I1814">
        <v>11.92</v>
      </c>
      <c r="K1814" s="19"/>
      <c r="N1814" s="19"/>
    </row>
    <row r="1815" spans="2:14" x14ac:dyDescent="0.25">
      <c r="B1815" s="19">
        <v>44279</v>
      </c>
      <c r="C1815">
        <v>40.064999999999998</v>
      </c>
      <c r="E1815" s="19">
        <v>44279</v>
      </c>
      <c r="F1815">
        <v>51.12</v>
      </c>
      <c r="H1815" s="19">
        <v>44279</v>
      </c>
      <c r="I1815">
        <v>12.065</v>
      </c>
      <c r="K1815" s="19"/>
      <c r="N1815" s="19"/>
    </row>
    <row r="1816" spans="2:14" x14ac:dyDescent="0.25">
      <c r="B1816" s="19">
        <v>44280</v>
      </c>
      <c r="C1816">
        <v>38.744999999999997</v>
      </c>
      <c r="E1816" s="19">
        <v>44280</v>
      </c>
      <c r="F1816">
        <v>50.83</v>
      </c>
      <c r="H1816" s="19">
        <v>44280</v>
      </c>
      <c r="I1816">
        <v>12.045</v>
      </c>
      <c r="K1816" s="19"/>
      <c r="N1816" s="19"/>
    </row>
    <row r="1817" spans="2:14" x14ac:dyDescent="0.25">
      <c r="B1817" s="19">
        <v>44281</v>
      </c>
      <c r="C1817">
        <v>39.159999999999997</v>
      </c>
      <c r="E1817" s="19">
        <v>44281</v>
      </c>
      <c r="F1817">
        <v>51.67</v>
      </c>
      <c r="H1817" s="19">
        <v>44281</v>
      </c>
      <c r="I1817">
        <v>12.234999999999999</v>
      </c>
      <c r="K1817" s="19"/>
      <c r="N1817" s="19"/>
    </row>
    <row r="1818" spans="2:14" x14ac:dyDescent="0.25">
      <c r="B1818" s="19">
        <v>44284</v>
      </c>
      <c r="C1818">
        <v>39.744999999999997</v>
      </c>
      <c r="E1818" s="19">
        <v>44284</v>
      </c>
      <c r="F1818">
        <v>50.67</v>
      </c>
      <c r="H1818" s="19">
        <v>44284</v>
      </c>
      <c r="I1818">
        <v>12.15</v>
      </c>
      <c r="K1818" s="19"/>
      <c r="N1818" s="19"/>
    </row>
    <row r="1819" spans="2:14" x14ac:dyDescent="0.25">
      <c r="B1819" s="19">
        <v>44285</v>
      </c>
      <c r="C1819">
        <v>40.25</v>
      </c>
      <c r="E1819" s="19">
        <v>44285</v>
      </c>
      <c r="F1819">
        <v>52.62</v>
      </c>
      <c r="H1819" s="19">
        <v>44285</v>
      </c>
      <c r="I1819">
        <v>12.48</v>
      </c>
      <c r="K1819" s="19"/>
      <c r="N1819" s="19"/>
    </row>
    <row r="1820" spans="2:14" x14ac:dyDescent="0.25">
      <c r="B1820" s="19">
        <v>44286</v>
      </c>
      <c r="C1820">
        <v>39.774999999999999</v>
      </c>
      <c r="E1820" s="19">
        <v>44286</v>
      </c>
      <c r="F1820">
        <v>51.88</v>
      </c>
      <c r="H1820" s="19">
        <v>44286</v>
      </c>
      <c r="I1820">
        <v>12.345000000000001</v>
      </c>
      <c r="K1820" s="19"/>
      <c r="N1820" s="19"/>
    </row>
    <row r="1821" spans="2:14" x14ac:dyDescent="0.25">
      <c r="B1821" s="19">
        <v>44287</v>
      </c>
      <c r="C1821">
        <v>39.1</v>
      </c>
      <c r="E1821" s="19">
        <v>44287</v>
      </c>
      <c r="F1821">
        <v>52.15</v>
      </c>
      <c r="H1821" s="19">
        <v>44287</v>
      </c>
      <c r="I1821">
        <v>12.438000000000001</v>
      </c>
      <c r="K1821" s="19"/>
      <c r="N1821" s="19"/>
    </row>
    <row r="1822" spans="2:14" x14ac:dyDescent="0.25">
      <c r="B1822" s="19">
        <v>44292</v>
      </c>
      <c r="C1822">
        <v>38.82</v>
      </c>
      <c r="E1822" s="19">
        <v>44292</v>
      </c>
      <c r="F1822">
        <v>51.95</v>
      </c>
      <c r="H1822" s="19">
        <v>44292</v>
      </c>
      <c r="I1822">
        <v>12.442</v>
      </c>
      <c r="K1822" s="19"/>
      <c r="N1822" s="19"/>
    </row>
    <row r="1823" spans="2:14" x14ac:dyDescent="0.25">
      <c r="B1823" s="19">
        <v>44293</v>
      </c>
      <c r="C1823">
        <v>38.914999999999999</v>
      </c>
      <c r="E1823" s="19">
        <v>44293</v>
      </c>
      <c r="F1823">
        <v>52.29</v>
      </c>
      <c r="H1823" s="19">
        <v>44293</v>
      </c>
      <c r="I1823">
        <v>12.5</v>
      </c>
      <c r="K1823" s="19"/>
      <c r="N1823" s="19"/>
    </row>
    <row r="1824" spans="2:14" x14ac:dyDescent="0.25">
      <c r="B1824" s="19">
        <v>44294</v>
      </c>
      <c r="C1824">
        <v>38.26</v>
      </c>
      <c r="E1824" s="19">
        <v>44294</v>
      </c>
      <c r="F1824">
        <v>52</v>
      </c>
      <c r="H1824" s="19">
        <v>44294</v>
      </c>
      <c r="I1824">
        <v>12.526</v>
      </c>
      <c r="K1824" s="19"/>
      <c r="N1824" s="19"/>
    </row>
    <row r="1825" spans="2:14" x14ac:dyDescent="0.25">
      <c r="B1825" s="19">
        <v>44295</v>
      </c>
      <c r="C1825">
        <v>37.844999999999999</v>
      </c>
      <c r="E1825" s="19">
        <v>44295</v>
      </c>
      <c r="F1825">
        <v>51.46</v>
      </c>
      <c r="H1825" s="19">
        <v>44295</v>
      </c>
      <c r="I1825">
        <v>12.532</v>
      </c>
      <c r="K1825" s="19"/>
      <c r="N1825" s="19"/>
    </row>
    <row r="1826" spans="2:14" x14ac:dyDescent="0.25">
      <c r="B1826" s="19">
        <v>44298</v>
      </c>
      <c r="C1826">
        <v>37.67</v>
      </c>
      <c r="E1826" s="19">
        <v>44298</v>
      </c>
      <c r="F1826">
        <v>51.42</v>
      </c>
      <c r="H1826" s="19">
        <v>44298</v>
      </c>
      <c r="I1826">
        <v>12.528</v>
      </c>
      <c r="K1826" s="19"/>
      <c r="N1826" s="19"/>
    </row>
    <row r="1827" spans="2:14" x14ac:dyDescent="0.25">
      <c r="B1827" s="19">
        <v>44299</v>
      </c>
      <c r="C1827">
        <v>37.875</v>
      </c>
      <c r="E1827" s="19">
        <v>44299</v>
      </c>
      <c r="F1827">
        <v>51.64</v>
      </c>
      <c r="H1827" s="19">
        <v>44299</v>
      </c>
      <c r="I1827">
        <v>12.518000000000001</v>
      </c>
      <c r="K1827" s="19"/>
      <c r="N1827" s="19"/>
    </row>
    <row r="1828" spans="2:14" x14ac:dyDescent="0.25">
      <c r="B1828" s="19">
        <v>44300</v>
      </c>
      <c r="C1828">
        <v>38.295000000000002</v>
      </c>
      <c r="E1828" s="19">
        <v>44300</v>
      </c>
      <c r="F1828">
        <v>51.98</v>
      </c>
      <c r="H1828" s="19">
        <v>44300</v>
      </c>
      <c r="I1828">
        <v>12.598000000000001</v>
      </c>
      <c r="K1828" s="19"/>
      <c r="N1828" s="19"/>
    </row>
    <row r="1829" spans="2:14" x14ac:dyDescent="0.25">
      <c r="B1829" s="19">
        <v>44301</v>
      </c>
      <c r="C1829">
        <v>38</v>
      </c>
      <c r="E1829" s="19">
        <v>44301</v>
      </c>
      <c r="F1829">
        <v>51.76</v>
      </c>
      <c r="H1829" s="19">
        <v>44301</v>
      </c>
      <c r="I1829">
        <v>12.448</v>
      </c>
      <c r="K1829" s="19"/>
      <c r="N1829" s="19"/>
    </row>
    <row r="1830" spans="2:14" x14ac:dyDescent="0.25">
      <c r="B1830" s="19">
        <v>44302</v>
      </c>
      <c r="C1830">
        <v>37.950000000000003</v>
      </c>
      <c r="E1830" s="19">
        <v>44302</v>
      </c>
      <c r="F1830">
        <v>52.9</v>
      </c>
      <c r="H1830" s="19">
        <v>44302</v>
      </c>
      <c r="I1830">
        <v>12.462</v>
      </c>
      <c r="K1830" s="19"/>
      <c r="N1830" s="19"/>
    </row>
    <row r="1831" spans="2:14" x14ac:dyDescent="0.25">
      <c r="B1831" s="19">
        <v>44305</v>
      </c>
      <c r="C1831">
        <v>38.04</v>
      </c>
      <c r="E1831" s="19">
        <v>44305</v>
      </c>
      <c r="F1831">
        <v>53.33</v>
      </c>
      <c r="H1831" s="19">
        <v>44305</v>
      </c>
      <c r="I1831">
        <v>12.598000000000001</v>
      </c>
      <c r="K1831" s="19"/>
      <c r="N1831" s="19"/>
    </row>
    <row r="1832" spans="2:14" x14ac:dyDescent="0.25">
      <c r="B1832" s="19">
        <v>44306</v>
      </c>
      <c r="C1832">
        <v>36.86</v>
      </c>
      <c r="E1832" s="19">
        <v>44306</v>
      </c>
      <c r="F1832">
        <v>50.83</v>
      </c>
      <c r="H1832" s="19">
        <v>44306</v>
      </c>
      <c r="I1832">
        <v>12.224</v>
      </c>
      <c r="K1832" s="19"/>
      <c r="N1832" s="19"/>
    </row>
    <row r="1833" spans="2:14" x14ac:dyDescent="0.25">
      <c r="B1833" s="19">
        <v>44307</v>
      </c>
      <c r="C1833">
        <v>36.905000000000001</v>
      </c>
      <c r="E1833" s="19">
        <v>44307</v>
      </c>
      <c r="F1833">
        <v>50.36</v>
      </c>
      <c r="H1833" s="19">
        <v>44307</v>
      </c>
      <c r="I1833">
        <v>12.118</v>
      </c>
      <c r="K1833" s="19"/>
      <c r="N1833" s="19"/>
    </row>
    <row r="1834" spans="2:14" x14ac:dyDescent="0.25">
      <c r="B1834" s="19">
        <v>44308</v>
      </c>
      <c r="C1834">
        <v>36.895000000000003</v>
      </c>
      <c r="E1834" s="19">
        <v>44308</v>
      </c>
      <c r="F1834">
        <v>50.68</v>
      </c>
      <c r="H1834" s="19">
        <v>44308</v>
      </c>
      <c r="I1834">
        <v>12.141999999999999</v>
      </c>
      <c r="K1834" s="19"/>
      <c r="N1834" s="19"/>
    </row>
    <row r="1835" spans="2:14" x14ac:dyDescent="0.25">
      <c r="B1835" s="19">
        <v>44309</v>
      </c>
      <c r="C1835">
        <v>36.774999999999999</v>
      </c>
      <c r="E1835" s="19">
        <v>44309</v>
      </c>
      <c r="F1835">
        <v>50.51</v>
      </c>
      <c r="H1835" s="19">
        <v>44309</v>
      </c>
      <c r="I1835">
        <v>12.17</v>
      </c>
      <c r="K1835" s="19"/>
      <c r="N1835" s="19"/>
    </row>
    <row r="1836" spans="2:14" x14ac:dyDescent="0.25">
      <c r="B1836" s="19">
        <v>44312</v>
      </c>
      <c r="C1836">
        <v>36.86</v>
      </c>
      <c r="E1836" s="19">
        <v>44312</v>
      </c>
      <c r="F1836">
        <v>51.91</v>
      </c>
      <c r="H1836" s="19">
        <v>44312</v>
      </c>
      <c r="I1836">
        <v>12.42</v>
      </c>
      <c r="K1836" s="19"/>
      <c r="N1836" s="19"/>
    </row>
    <row r="1837" spans="2:14" x14ac:dyDescent="0.25">
      <c r="B1837" s="19">
        <v>44313</v>
      </c>
      <c r="C1837">
        <v>36.79</v>
      </c>
      <c r="E1837" s="19">
        <v>44313</v>
      </c>
      <c r="F1837">
        <v>51.86</v>
      </c>
      <c r="H1837" s="19">
        <v>44313</v>
      </c>
      <c r="I1837">
        <v>12.587999999999999</v>
      </c>
      <c r="K1837" s="19"/>
      <c r="N1837" s="19"/>
    </row>
    <row r="1838" spans="2:14" x14ac:dyDescent="0.25">
      <c r="B1838" s="19">
        <v>44314</v>
      </c>
      <c r="C1838">
        <v>37.445</v>
      </c>
      <c r="E1838" s="19">
        <v>44314</v>
      </c>
      <c r="F1838">
        <v>53.48</v>
      </c>
      <c r="H1838" s="19">
        <v>44314</v>
      </c>
      <c r="I1838">
        <v>12.752000000000001</v>
      </c>
      <c r="K1838" s="19"/>
      <c r="N1838" s="19"/>
    </row>
    <row r="1839" spans="2:14" x14ac:dyDescent="0.25">
      <c r="B1839" s="19">
        <v>44315</v>
      </c>
      <c r="C1839">
        <v>37.1</v>
      </c>
      <c r="E1839" s="19">
        <v>44315</v>
      </c>
      <c r="F1839">
        <v>53.83</v>
      </c>
      <c r="H1839" s="19">
        <v>44315</v>
      </c>
      <c r="I1839">
        <v>12.842000000000001</v>
      </c>
      <c r="K1839" s="19"/>
      <c r="N1839" s="19"/>
    </row>
    <row r="1840" spans="2:14" x14ac:dyDescent="0.25">
      <c r="B1840" s="19">
        <v>44316</v>
      </c>
      <c r="C1840">
        <v>36.825000000000003</v>
      </c>
      <c r="E1840" s="19">
        <v>44316</v>
      </c>
      <c r="F1840">
        <v>53.39</v>
      </c>
      <c r="H1840" s="19">
        <v>44316</v>
      </c>
      <c r="I1840">
        <v>12.872</v>
      </c>
      <c r="K1840" s="19"/>
      <c r="N1840" s="19"/>
    </row>
    <row r="1841" spans="2:14" x14ac:dyDescent="0.25">
      <c r="B1841" s="19">
        <v>44319</v>
      </c>
      <c r="C1841">
        <v>37.24</v>
      </c>
      <c r="E1841" s="19">
        <v>44319</v>
      </c>
      <c r="F1841">
        <v>53.46</v>
      </c>
      <c r="H1841" s="19">
        <v>44319</v>
      </c>
      <c r="I1841">
        <v>12.898</v>
      </c>
      <c r="K1841" s="19"/>
      <c r="N1841" s="19"/>
    </row>
    <row r="1842" spans="2:14" x14ac:dyDescent="0.25">
      <c r="B1842" s="19">
        <v>44320</v>
      </c>
      <c r="C1842">
        <v>37.664999999999999</v>
      </c>
      <c r="E1842" s="19">
        <v>44320</v>
      </c>
      <c r="F1842">
        <v>53.05</v>
      </c>
      <c r="H1842" s="19">
        <v>44320</v>
      </c>
      <c r="I1842">
        <v>12.75</v>
      </c>
      <c r="K1842" s="19"/>
      <c r="N1842" s="19"/>
    </row>
    <row r="1843" spans="2:14" x14ac:dyDescent="0.25">
      <c r="B1843" s="19">
        <v>44321</v>
      </c>
      <c r="C1843">
        <v>39.015000000000001</v>
      </c>
      <c r="E1843" s="19">
        <v>44321</v>
      </c>
      <c r="F1843">
        <v>54.9</v>
      </c>
      <c r="H1843" s="19">
        <v>44321</v>
      </c>
      <c r="I1843">
        <v>12.997999999999999</v>
      </c>
      <c r="K1843" s="19"/>
      <c r="N1843" s="19"/>
    </row>
    <row r="1844" spans="2:14" x14ac:dyDescent="0.25">
      <c r="B1844" s="19">
        <v>44322</v>
      </c>
      <c r="C1844">
        <v>39.14</v>
      </c>
      <c r="E1844" s="19">
        <v>44322</v>
      </c>
      <c r="F1844">
        <v>54.91</v>
      </c>
      <c r="H1844" s="19">
        <v>44322</v>
      </c>
      <c r="I1844">
        <v>13.087999999999999</v>
      </c>
      <c r="K1844" s="19"/>
      <c r="N1844" s="19"/>
    </row>
    <row r="1845" spans="2:14" x14ac:dyDescent="0.25">
      <c r="B1845" s="19">
        <v>44323</v>
      </c>
      <c r="C1845">
        <v>39.049999999999997</v>
      </c>
      <c r="E1845" s="19">
        <v>44323</v>
      </c>
      <c r="F1845">
        <v>54.78</v>
      </c>
      <c r="H1845" s="19">
        <v>44323</v>
      </c>
      <c r="I1845">
        <v>12.87</v>
      </c>
      <c r="K1845" s="19"/>
      <c r="N1845" s="19"/>
    </row>
    <row r="1846" spans="2:14" x14ac:dyDescent="0.25">
      <c r="B1846" s="19">
        <v>44326</v>
      </c>
      <c r="C1846">
        <v>39.340000000000003</v>
      </c>
      <c r="E1846" s="19">
        <v>44326</v>
      </c>
      <c r="F1846">
        <v>55.82</v>
      </c>
      <c r="H1846" s="19">
        <v>44326</v>
      </c>
      <c r="I1846">
        <v>13.375999999999999</v>
      </c>
      <c r="K1846" s="19"/>
      <c r="N1846" s="19"/>
    </row>
    <row r="1847" spans="2:14" x14ac:dyDescent="0.25">
      <c r="B1847" s="19">
        <v>44327</v>
      </c>
      <c r="C1847">
        <v>38.42</v>
      </c>
      <c r="E1847" s="19">
        <v>44327</v>
      </c>
      <c r="F1847">
        <v>55.8</v>
      </c>
      <c r="H1847" s="19">
        <v>44327</v>
      </c>
      <c r="I1847">
        <v>13.206</v>
      </c>
      <c r="K1847" s="19"/>
      <c r="N1847" s="19"/>
    </row>
    <row r="1848" spans="2:14" x14ac:dyDescent="0.25">
      <c r="B1848" s="19">
        <v>44328</v>
      </c>
      <c r="C1848">
        <v>39.299999999999997</v>
      </c>
      <c r="E1848" s="19">
        <v>44328</v>
      </c>
      <c r="F1848">
        <v>56.6</v>
      </c>
      <c r="H1848" s="19">
        <v>44328</v>
      </c>
      <c r="I1848">
        <v>13.407999999999999</v>
      </c>
      <c r="K1848" s="19"/>
      <c r="N1848" s="19"/>
    </row>
    <row r="1849" spans="2:14" x14ac:dyDescent="0.25">
      <c r="B1849" s="19">
        <v>44329</v>
      </c>
      <c r="C1849">
        <v>38.81</v>
      </c>
      <c r="E1849" s="19">
        <v>44329</v>
      </c>
      <c r="F1849">
        <v>56.06</v>
      </c>
      <c r="H1849" s="19">
        <v>44329</v>
      </c>
      <c r="I1849">
        <v>13.226000000000001</v>
      </c>
      <c r="K1849" s="19"/>
      <c r="N1849" s="19"/>
    </row>
    <row r="1850" spans="2:14" x14ac:dyDescent="0.25">
      <c r="B1850" s="19">
        <v>44330</v>
      </c>
      <c r="C1850">
        <v>39.75</v>
      </c>
      <c r="E1850" s="19">
        <v>44330</v>
      </c>
      <c r="F1850">
        <v>57.04</v>
      </c>
      <c r="H1850" s="19">
        <v>44330</v>
      </c>
      <c r="I1850">
        <v>13.326000000000001</v>
      </c>
      <c r="K1850" s="19"/>
      <c r="N1850" s="19"/>
    </row>
    <row r="1851" spans="2:14" x14ac:dyDescent="0.25">
      <c r="B1851" s="19">
        <v>44333</v>
      </c>
      <c r="C1851">
        <v>39.81</v>
      </c>
      <c r="E1851" s="19">
        <v>44333</v>
      </c>
      <c r="F1851">
        <v>56.98</v>
      </c>
      <c r="H1851" s="19">
        <v>44333</v>
      </c>
      <c r="I1851">
        <v>13.342000000000001</v>
      </c>
      <c r="K1851" s="19"/>
      <c r="N1851" s="19"/>
    </row>
    <row r="1852" spans="2:14" x14ac:dyDescent="0.25">
      <c r="B1852" s="19">
        <v>44334</v>
      </c>
      <c r="C1852">
        <v>39.695</v>
      </c>
      <c r="E1852" s="19">
        <v>44334</v>
      </c>
      <c r="F1852">
        <v>57.07</v>
      </c>
      <c r="H1852" s="19">
        <v>44334</v>
      </c>
      <c r="I1852">
        <v>12.444000000000001</v>
      </c>
      <c r="K1852" s="19"/>
      <c r="N1852" s="19"/>
    </row>
    <row r="1853" spans="2:14" x14ac:dyDescent="0.25">
      <c r="B1853" s="19">
        <v>44335</v>
      </c>
      <c r="C1853">
        <v>38.384999999999998</v>
      </c>
      <c r="E1853" s="19">
        <v>44335</v>
      </c>
      <c r="F1853">
        <v>55.94</v>
      </c>
      <c r="H1853" s="19">
        <v>44335</v>
      </c>
      <c r="I1853">
        <v>12.118</v>
      </c>
      <c r="K1853" s="19"/>
      <c r="N1853" s="19"/>
    </row>
    <row r="1854" spans="2:14" x14ac:dyDescent="0.25">
      <c r="B1854" s="19">
        <v>44336</v>
      </c>
      <c r="C1854">
        <v>38.545000000000002</v>
      </c>
      <c r="E1854" s="19">
        <v>44336</v>
      </c>
      <c r="F1854">
        <v>56.21</v>
      </c>
      <c r="H1854" s="19">
        <v>44336</v>
      </c>
      <c r="I1854">
        <v>12.194000000000001</v>
      </c>
      <c r="K1854" s="19"/>
      <c r="N1854" s="19"/>
    </row>
    <row r="1855" spans="2:14" x14ac:dyDescent="0.25">
      <c r="B1855" s="19">
        <v>44337</v>
      </c>
      <c r="C1855">
        <v>39</v>
      </c>
      <c r="E1855" s="19">
        <v>44337</v>
      </c>
      <c r="F1855">
        <v>56.24</v>
      </c>
      <c r="H1855" s="19">
        <v>44337</v>
      </c>
      <c r="I1855">
        <v>12.28</v>
      </c>
      <c r="K1855" s="19"/>
      <c r="N1855" s="19"/>
    </row>
    <row r="1856" spans="2:14" x14ac:dyDescent="0.25">
      <c r="B1856" s="19">
        <v>44340</v>
      </c>
      <c r="C1856">
        <v>39.04</v>
      </c>
      <c r="E1856" s="19">
        <v>44340</v>
      </c>
      <c r="F1856">
        <v>55.6</v>
      </c>
      <c r="H1856" s="19">
        <v>44340</v>
      </c>
      <c r="I1856">
        <v>12.231999999999999</v>
      </c>
      <c r="K1856" s="19"/>
      <c r="N1856" s="19"/>
    </row>
    <row r="1857" spans="2:14" x14ac:dyDescent="0.25">
      <c r="B1857" s="19">
        <v>44341</v>
      </c>
      <c r="C1857">
        <v>38.33</v>
      </c>
      <c r="E1857" s="19">
        <v>44341</v>
      </c>
      <c r="F1857">
        <v>55.4</v>
      </c>
      <c r="H1857" s="19">
        <v>44341</v>
      </c>
      <c r="I1857">
        <v>12.114000000000001</v>
      </c>
      <c r="K1857" s="19"/>
      <c r="N1857" s="19"/>
    </row>
    <row r="1858" spans="2:14" x14ac:dyDescent="0.25">
      <c r="B1858" s="19">
        <v>44342</v>
      </c>
      <c r="C1858">
        <v>38.47</v>
      </c>
      <c r="E1858" s="19">
        <v>44342</v>
      </c>
      <c r="F1858">
        <v>54.65</v>
      </c>
      <c r="H1858" s="19">
        <v>44342</v>
      </c>
      <c r="I1858">
        <v>11.976000000000001</v>
      </c>
      <c r="K1858" s="19"/>
      <c r="N1858" s="19"/>
    </row>
    <row r="1859" spans="2:14" x14ac:dyDescent="0.25">
      <c r="B1859" s="19">
        <v>44343</v>
      </c>
      <c r="C1859">
        <v>38.045000000000002</v>
      </c>
      <c r="E1859" s="19">
        <v>44343</v>
      </c>
      <c r="F1859">
        <v>56.39</v>
      </c>
      <c r="H1859" s="19">
        <v>44343</v>
      </c>
      <c r="I1859">
        <v>12.118</v>
      </c>
      <c r="K1859" s="19"/>
      <c r="N1859" s="19"/>
    </row>
    <row r="1860" spans="2:14" x14ac:dyDescent="0.25">
      <c r="B1860" s="19">
        <v>44344</v>
      </c>
      <c r="C1860">
        <v>38.145000000000003</v>
      </c>
      <c r="E1860" s="19">
        <v>44344</v>
      </c>
      <c r="F1860">
        <v>56.48</v>
      </c>
      <c r="H1860" s="19">
        <v>44344</v>
      </c>
      <c r="I1860">
        <v>12.302</v>
      </c>
      <c r="K1860" s="19"/>
      <c r="N1860" s="19"/>
    </row>
    <row r="1861" spans="2:14" x14ac:dyDescent="0.25">
      <c r="B1861" s="19">
        <v>44347</v>
      </c>
      <c r="C1861">
        <v>37.905000000000001</v>
      </c>
      <c r="E1861" s="19">
        <v>44347</v>
      </c>
      <c r="F1861">
        <v>55.85</v>
      </c>
      <c r="H1861" s="19">
        <v>44347</v>
      </c>
      <c r="I1861">
        <v>12.202</v>
      </c>
      <c r="K1861" s="19"/>
      <c r="N1861" s="19"/>
    </row>
    <row r="1862" spans="2:14" x14ac:dyDescent="0.25">
      <c r="B1862" s="19">
        <v>44348</v>
      </c>
      <c r="C1862">
        <v>38.82</v>
      </c>
      <c r="E1862" s="19">
        <v>44348</v>
      </c>
      <c r="F1862">
        <v>56.71</v>
      </c>
      <c r="H1862" s="19">
        <v>44348</v>
      </c>
      <c r="I1862">
        <v>12.454000000000001</v>
      </c>
      <c r="K1862" s="19"/>
      <c r="N1862" s="19"/>
    </row>
    <row r="1863" spans="2:14" x14ac:dyDescent="0.25">
      <c r="B1863" s="19">
        <v>44349</v>
      </c>
      <c r="C1863">
        <v>39.69</v>
      </c>
      <c r="E1863" s="19">
        <v>44349</v>
      </c>
      <c r="F1863">
        <v>57</v>
      </c>
      <c r="H1863" s="19">
        <v>44349</v>
      </c>
      <c r="I1863">
        <v>12.38</v>
      </c>
      <c r="K1863" s="19"/>
      <c r="N1863" s="19"/>
    </row>
    <row r="1864" spans="2:14" x14ac:dyDescent="0.25">
      <c r="B1864" s="19">
        <v>44350</v>
      </c>
      <c r="C1864">
        <v>39.865000000000002</v>
      </c>
      <c r="E1864" s="19">
        <v>44350</v>
      </c>
      <c r="F1864">
        <v>57.44</v>
      </c>
      <c r="H1864" s="19">
        <v>44350</v>
      </c>
      <c r="I1864">
        <v>12.327999999999999</v>
      </c>
      <c r="K1864" s="19"/>
      <c r="N1864" s="19"/>
    </row>
    <row r="1865" spans="2:14" x14ac:dyDescent="0.25">
      <c r="B1865" s="19">
        <v>44351</v>
      </c>
      <c r="C1865">
        <v>39.68</v>
      </c>
      <c r="E1865" s="19">
        <v>44351</v>
      </c>
      <c r="F1865">
        <v>57.11</v>
      </c>
      <c r="H1865" s="19">
        <v>44351</v>
      </c>
      <c r="I1865">
        <v>12.368</v>
      </c>
      <c r="K1865" s="19"/>
      <c r="N1865" s="19"/>
    </row>
    <row r="1866" spans="2:14" x14ac:dyDescent="0.25">
      <c r="B1866" s="19">
        <v>44354</v>
      </c>
      <c r="C1866">
        <v>39.49</v>
      </c>
      <c r="E1866" s="19">
        <v>44354</v>
      </c>
      <c r="F1866">
        <v>57.57</v>
      </c>
      <c r="H1866" s="19">
        <v>44354</v>
      </c>
      <c r="I1866">
        <v>12.49</v>
      </c>
      <c r="K1866" s="19"/>
      <c r="N1866" s="19"/>
    </row>
    <row r="1867" spans="2:14" x14ac:dyDescent="0.25">
      <c r="B1867" s="19">
        <v>44355</v>
      </c>
      <c r="C1867">
        <v>39.634999999999998</v>
      </c>
      <c r="E1867" s="19">
        <v>44355</v>
      </c>
      <c r="F1867">
        <v>56.68</v>
      </c>
      <c r="H1867" s="19">
        <v>44355</v>
      </c>
      <c r="I1867">
        <v>12.26</v>
      </c>
      <c r="K1867" s="19"/>
      <c r="N1867" s="19"/>
    </row>
    <row r="1868" spans="2:14" x14ac:dyDescent="0.25">
      <c r="B1868" s="19">
        <v>44356</v>
      </c>
      <c r="C1868">
        <v>40.015000000000001</v>
      </c>
      <c r="E1868" s="19">
        <v>44356</v>
      </c>
      <c r="F1868">
        <v>56.23</v>
      </c>
      <c r="H1868" s="19">
        <v>44356</v>
      </c>
      <c r="I1868">
        <v>12.102</v>
      </c>
      <c r="K1868" s="19"/>
      <c r="N1868" s="19"/>
    </row>
    <row r="1869" spans="2:14" x14ac:dyDescent="0.25">
      <c r="B1869" s="19">
        <v>44357</v>
      </c>
      <c r="C1869">
        <v>39.82</v>
      </c>
      <c r="E1869" s="19">
        <v>44357</v>
      </c>
      <c r="F1869">
        <v>56.09</v>
      </c>
      <c r="H1869" s="19">
        <v>44357</v>
      </c>
      <c r="I1869">
        <v>12.391999999999999</v>
      </c>
      <c r="K1869" s="19"/>
      <c r="N1869" s="19"/>
    </row>
    <row r="1870" spans="2:14" x14ac:dyDescent="0.25">
      <c r="B1870" s="19">
        <v>44358</v>
      </c>
      <c r="C1870">
        <v>40.33</v>
      </c>
      <c r="E1870" s="19">
        <v>44358</v>
      </c>
      <c r="F1870">
        <v>56.32</v>
      </c>
      <c r="H1870" s="19">
        <v>44358</v>
      </c>
      <c r="I1870">
        <v>12.423999999999999</v>
      </c>
      <c r="K1870" s="19"/>
      <c r="N1870" s="19"/>
    </row>
    <row r="1871" spans="2:14" x14ac:dyDescent="0.25">
      <c r="B1871" s="19">
        <v>44361</v>
      </c>
      <c r="C1871">
        <v>40.884999999999998</v>
      </c>
      <c r="E1871" s="19">
        <v>44361</v>
      </c>
      <c r="F1871">
        <v>56.45</v>
      </c>
      <c r="H1871" s="19">
        <v>44361</v>
      </c>
      <c r="I1871">
        <v>12.458</v>
      </c>
      <c r="K1871" s="19"/>
      <c r="N1871" s="19"/>
    </row>
    <row r="1872" spans="2:14" x14ac:dyDescent="0.25">
      <c r="B1872" s="19">
        <v>44362</v>
      </c>
      <c r="C1872">
        <v>40.914999999999999</v>
      </c>
      <c r="E1872" s="19">
        <v>44362</v>
      </c>
      <c r="F1872">
        <v>56.47</v>
      </c>
      <c r="H1872" s="19">
        <v>44362</v>
      </c>
      <c r="I1872">
        <v>12.458</v>
      </c>
      <c r="K1872" s="19"/>
      <c r="N1872" s="19"/>
    </row>
    <row r="1873" spans="2:14" x14ac:dyDescent="0.25">
      <c r="B1873" s="19">
        <v>44363</v>
      </c>
      <c r="C1873">
        <v>40.950000000000003</v>
      </c>
      <c r="E1873" s="19">
        <v>44363</v>
      </c>
      <c r="F1873">
        <v>55.74</v>
      </c>
      <c r="H1873" s="19">
        <v>44363</v>
      </c>
      <c r="I1873">
        <v>12.254</v>
      </c>
      <c r="K1873" s="19"/>
      <c r="N1873" s="19"/>
    </row>
    <row r="1874" spans="2:14" x14ac:dyDescent="0.25">
      <c r="B1874" s="19">
        <v>44364</v>
      </c>
      <c r="C1874">
        <v>40.72</v>
      </c>
      <c r="E1874" s="19">
        <v>44364</v>
      </c>
      <c r="F1874">
        <v>56.31</v>
      </c>
      <c r="H1874" s="19">
        <v>44364</v>
      </c>
      <c r="I1874">
        <v>12.3</v>
      </c>
      <c r="K1874" s="19"/>
      <c r="N1874" s="19"/>
    </row>
    <row r="1875" spans="2:14" x14ac:dyDescent="0.25">
      <c r="B1875" s="19">
        <v>44365</v>
      </c>
      <c r="C1875">
        <v>39.534999999999997</v>
      </c>
      <c r="E1875" s="19">
        <v>44365</v>
      </c>
      <c r="F1875">
        <v>53.74</v>
      </c>
      <c r="H1875" s="19">
        <v>44365</v>
      </c>
      <c r="I1875">
        <v>11.798</v>
      </c>
      <c r="K1875" s="19"/>
      <c r="N1875" s="19"/>
    </row>
    <row r="1876" spans="2:14" x14ac:dyDescent="0.25">
      <c r="B1876" s="19">
        <v>44368</v>
      </c>
      <c r="C1876">
        <v>39.96</v>
      </c>
      <c r="E1876" s="19">
        <v>44368</v>
      </c>
      <c r="F1876">
        <v>53.86</v>
      </c>
      <c r="H1876" s="19">
        <v>44368</v>
      </c>
      <c r="I1876">
        <v>11.832000000000001</v>
      </c>
      <c r="K1876" s="19"/>
      <c r="N1876" s="19"/>
    </row>
    <row r="1877" spans="2:14" x14ac:dyDescent="0.25">
      <c r="B1877" s="19">
        <v>44369</v>
      </c>
      <c r="C1877">
        <v>40.204999999999998</v>
      </c>
      <c r="E1877" s="19">
        <v>44369</v>
      </c>
      <c r="F1877">
        <v>53.98</v>
      </c>
      <c r="H1877" s="19">
        <v>44369</v>
      </c>
      <c r="I1877">
        <v>11.872</v>
      </c>
      <c r="K1877" s="19"/>
      <c r="N1877" s="19"/>
    </row>
    <row r="1878" spans="2:14" x14ac:dyDescent="0.25">
      <c r="B1878" s="19">
        <v>44370</v>
      </c>
      <c r="C1878">
        <v>40.04</v>
      </c>
      <c r="E1878" s="19">
        <v>44370</v>
      </c>
      <c r="F1878">
        <v>53.48</v>
      </c>
      <c r="H1878" s="19">
        <v>44370</v>
      </c>
      <c r="I1878">
        <v>11.744</v>
      </c>
      <c r="K1878" s="19"/>
      <c r="N1878" s="19"/>
    </row>
    <row r="1879" spans="2:14" x14ac:dyDescent="0.25">
      <c r="B1879" s="19">
        <v>44371</v>
      </c>
      <c r="C1879">
        <v>40.255000000000003</v>
      </c>
      <c r="E1879" s="19">
        <v>44371</v>
      </c>
      <c r="F1879">
        <v>54.1</v>
      </c>
      <c r="H1879" s="19">
        <v>44371</v>
      </c>
      <c r="I1879">
        <v>11.882</v>
      </c>
      <c r="K1879" s="19"/>
      <c r="N1879" s="19"/>
    </row>
    <row r="1880" spans="2:14" x14ac:dyDescent="0.25">
      <c r="B1880" s="19">
        <v>44372</v>
      </c>
      <c r="C1880">
        <v>39.935000000000002</v>
      </c>
      <c r="E1880" s="19">
        <v>44372</v>
      </c>
      <c r="F1880">
        <v>54.46</v>
      </c>
      <c r="H1880" s="19">
        <v>44372</v>
      </c>
      <c r="I1880">
        <v>11.95</v>
      </c>
      <c r="K1880" s="19"/>
      <c r="N1880" s="19"/>
    </row>
    <row r="1881" spans="2:14" x14ac:dyDescent="0.25">
      <c r="B1881" s="19">
        <v>44375</v>
      </c>
      <c r="C1881">
        <v>38.784999999999997</v>
      </c>
      <c r="E1881" s="19">
        <v>44375</v>
      </c>
      <c r="F1881">
        <v>53.2</v>
      </c>
      <c r="H1881" s="19">
        <v>44375</v>
      </c>
      <c r="I1881">
        <v>11.782</v>
      </c>
      <c r="K1881" s="19"/>
      <c r="N1881" s="19"/>
    </row>
    <row r="1882" spans="2:14" x14ac:dyDescent="0.25">
      <c r="B1882" s="19">
        <v>44376</v>
      </c>
      <c r="C1882">
        <v>38.604999999999997</v>
      </c>
      <c r="E1882" s="19">
        <v>44376</v>
      </c>
      <c r="F1882">
        <v>53.57</v>
      </c>
      <c r="H1882" s="19">
        <v>44376</v>
      </c>
      <c r="I1882">
        <v>11.962</v>
      </c>
      <c r="K1882" s="19"/>
      <c r="N1882" s="19"/>
    </row>
    <row r="1883" spans="2:14" x14ac:dyDescent="0.25">
      <c r="B1883" s="19">
        <v>44377</v>
      </c>
      <c r="C1883">
        <v>38.155000000000001</v>
      </c>
      <c r="E1883" s="19">
        <v>44377</v>
      </c>
      <c r="F1883">
        <v>52.87</v>
      </c>
      <c r="H1883" s="19">
        <v>44377</v>
      </c>
      <c r="I1883">
        <v>11.814</v>
      </c>
      <c r="K1883" s="19"/>
      <c r="N1883" s="19"/>
    </row>
    <row r="1884" spans="2:14" x14ac:dyDescent="0.25">
      <c r="B1884" s="19">
        <v>44378</v>
      </c>
      <c r="C1884">
        <v>38.76</v>
      </c>
      <c r="E1884" s="19">
        <v>44378</v>
      </c>
      <c r="F1884">
        <v>53.48</v>
      </c>
      <c r="H1884" s="19">
        <v>44378</v>
      </c>
      <c r="I1884">
        <v>11.988</v>
      </c>
      <c r="K1884" s="19"/>
      <c r="N1884" s="19"/>
    </row>
    <row r="1885" spans="2:14" x14ac:dyDescent="0.25">
      <c r="B1885" s="19">
        <v>44379</v>
      </c>
      <c r="C1885">
        <v>38.615000000000002</v>
      </c>
      <c r="E1885" s="19">
        <v>44379</v>
      </c>
      <c r="F1885">
        <v>52.47</v>
      </c>
      <c r="H1885" s="19">
        <v>44379</v>
      </c>
      <c r="I1885">
        <v>11.852</v>
      </c>
      <c r="K1885" s="19"/>
      <c r="N1885" s="19"/>
    </row>
    <row r="1886" spans="2:14" x14ac:dyDescent="0.25">
      <c r="B1886" s="19">
        <v>44382</v>
      </c>
      <c r="C1886">
        <v>38.71</v>
      </c>
      <c r="E1886" s="19">
        <v>44382</v>
      </c>
      <c r="F1886">
        <v>53.63</v>
      </c>
      <c r="H1886" s="19">
        <v>44382</v>
      </c>
      <c r="I1886">
        <v>12.05</v>
      </c>
      <c r="K1886" s="19"/>
      <c r="N1886" s="19"/>
    </row>
    <row r="1887" spans="2:14" x14ac:dyDescent="0.25">
      <c r="B1887" s="19">
        <v>44383</v>
      </c>
      <c r="C1887">
        <v>37.905000000000001</v>
      </c>
      <c r="E1887" s="19">
        <v>44383</v>
      </c>
      <c r="F1887">
        <v>51.92</v>
      </c>
      <c r="H1887" s="19">
        <v>44383</v>
      </c>
      <c r="I1887">
        <v>11.712</v>
      </c>
      <c r="K1887" s="19"/>
      <c r="N1887" s="19"/>
    </row>
    <row r="1888" spans="2:14" x14ac:dyDescent="0.25">
      <c r="B1888" s="19">
        <v>44384</v>
      </c>
      <c r="C1888">
        <v>37.47</v>
      </c>
      <c r="E1888" s="19">
        <v>44384</v>
      </c>
      <c r="F1888">
        <v>51.18</v>
      </c>
      <c r="H1888" s="19">
        <v>44384</v>
      </c>
      <c r="I1888">
        <v>11.696</v>
      </c>
      <c r="K1888" s="19"/>
      <c r="N1888" s="19"/>
    </row>
    <row r="1889" spans="2:14" x14ac:dyDescent="0.25">
      <c r="B1889" s="19">
        <v>44385</v>
      </c>
      <c r="C1889">
        <v>37.1</v>
      </c>
      <c r="E1889" s="19">
        <v>44385</v>
      </c>
      <c r="F1889">
        <v>49.715000000000003</v>
      </c>
      <c r="H1889" s="19">
        <v>44385</v>
      </c>
      <c r="I1889">
        <v>11.507999999999999</v>
      </c>
      <c r="K1889" s="19"/>
      <c r="N1889" s="19"/>
    </row>
    <row r="1890" spans="2:14" x14ac:dyDescent="0.25">
      <c r="B1890" s="19">
        <v>44386</v>
      </c>
      <c r="C1890">
        <v>37.450000000000003</v>
      </c>
      <c r="E1890" s="19">
        <v>44386</v>
      </c>
      <c r="F1890">
        <v>50.93</v>
      </c>
      <c r="H1890" s="19">
        <v>44386</v>
      </c>
      <c r="I1890">
        <v>11.794</v>
      </c>
      <c r="K1890" s="19"/>
      <c r="N1890" s="19"/>
    </row>
    <row r="1891" spans="2:14" x14ac:dyDescent="0.25">
      <c r="B1891" s="19">
        <v>44389</v>
      </c>
      <c r="C1891">
        <v>37.47</v>
      </c>
      <c r="E1891" s="19">
        <v>44389</v>
      </c>
      <c r="F1891">
        <v>51.04</v>
      </c>
      <c r="H1891" s="19">
        <v>44389</v>
      </c>
      <c r="I1891">
        <v>11.768000000000001</v>
      </c>
      <c r="K1891" s="19"/>
      <c r="N1891" s="19"/>
    </row>
    <row r="1892" spans="2:14" x14ac:dyDescent="0.25">
      <c r="B1892" s="19">
        <v>44390</v>
      </c>
      <c r="C1892">
        <v>37.19</v>
      </c>
      <c r="E1892" s="19">
        <v>44390</v>
      </c>
      <c r="F1892">
        <v>50.83</v>
      </c>
      <c r="H1892" s="19">
        <v>44390</v>
      </c>
      <c r="I1892">
        <v>11.584</v>
      </c>
      <c r="K1892" s="19"/>
      <c r="N1892" s="19"/>
    </row>
    <row r="1893" spans="2:14" x14ac:dyDescent="0.25">
      <c r="B1893" s="19">
        <v>44391</v>
      </c>
      <c r="C1893">
        <v>37.104999999999997</v>
      </c>
      <c r="E1893" s="19">
        <v>44391</v>
      </c>
      <c r="F1893">
        <v>51.14</v>
      </c>
      <c r="H1893" s="19">
        <v>44391</v>
      </c>
      <c r="I1893">
        <v>11.654</v>
      </c>
      <c r="K1893" s="19"/>
      <c r="N1893" s="19"/>
    </row>
    <row r="1894" spans="2:14" x14ac:dyDescent="0.25">
      <c r="B1894" s="19">
        <v>44392</v>
      </c>
      <c r="C1894">
        <v>36.645000000000003</v>
      </c>
      <c r="E1894" s="19">
        <v>44392</v>
      </c>
      <c r="F1894">
        <v>50.72</v>
      </c>
      <c r="H1894" s="19">
        <v>44392</v>
      </c>
      <c r="I1894">
        <v>11.561999999999999</v>
      </c>
      <c r="K1894" s="19"/>
      <c r="N1894" s="19"/>
    </row>
    <row r="1895" spans="2:14" x14ac:dyDescent="0.25">
      <c r="B1895" s="19">
        <v>44393</v>
      </c>
      <c r="C1895">
        <v>36.284999999999997</v>
      </c>
      <c r="E1895" s="19">
        <v>44393</v>
      </c>
      <c r="F1895">
        <v>49.88</v>
      </c>
      <c r="H1895" s="19">
        <v>44393</v>
      </c>
      <c r="I1895">
        <v>11.45</v>
      </c>
      <c r="K1895" s="19"/>
      <c r="N1895" s="19"/>
    </row>
    <row r="1896" spans="2:14" x14ac:dyDescent="0.25">
      <c r="B1896" s="19">
        <v>44396</v>
      </c>
      <c r="C1896">
        <v>34.89</v>
      </c>
      <c r="E1896" s="19">
        <v>44396</v>
      </c>
      <c r="F1896">
        <v>47.79</v>
      </c>
      <c r="H1896" s="19">
        <v>44396</v>
      </c>
      <c r="I1896">
        <v>11.096</v>
      </c>
      <c r="K1896" s="19"/>
      <c r="N1896" s="19"/>
    </row>
    <row r="1897" spans="2:14" x14ac:dyDescent="0.25">
      <c r="B1897" s="19">
        <v>44397</v>
      </c>
      <c r="C1897">
        <v>34.865000000000002</v>
      </c>
      <c r="E1897" s="19">
        <v>44397</v>
      </c>
      <c r="F1897">
        <v>48.695</v>
      </c>
      <c r="H1897" s="19">
        <v>44397</v>
      </c>
      <c r="I1897">
        <v>11.262</v>
      </c>
      <c r="K1897" s="19"/>
      <c r="N1897" s="19"/>
    </row>
    <row r="1898" spans="2:14" x14ac:dyDescent="0.25">
      <c r="B1898" s="19">
        <v>44398</v>
      </c>
      <c r="C1898">
        <v>35.795000000000002</v>
      </c>
      <c r="E1898" s="19">
        <v>44398</v>
      </c>
      <c r="F1898">
        <v>50.23</v>
      </c>
      <c r="H1898" s="19">
        <v>44398</v>
      </c>
      <c r="I1898">
        <v>11.624000000000001</v>
      </c>
      <c r="K1898" s="19"/>
      <c r="N1898" s="19"/>
    </row>
    <row r="1899" spans="2:14" x14ac:dyDescent="0.25">
      <c r="B1899" s="19">
        <v>44399</v>
      </c>
      <c r="C1899">
        <v>35.64</v>
      </c>
      <c r="E1899" s="19">
        <v>44399</v>
      </c>
      <c r="F1899">
        <v>49.98</v>
      </c>
      <c r="H1899" s="19">
        <v>44399</v>
      </c>
      <c r="I1899">
        <v>11.545999999999999</v>
      </c>
      <c r="K1899" s="19"/>
      <c r="N1899" s="19"/>
    </row>
    <row r="1900" spans="2:14" x14ac:dyDescent="0.25">
      <c r="B1900" s="19">
        <v>44400</v>
      </c>
      <c r="C1900">
        <v>35.634999999999998</v>
      </c>
      <c r="E1900" s="19">
        <v>44400</v>
      </c>
      <c r="F1900">
        <v>50.57</v>
      </c>
      <c r="H1900" s="19">
        <v>44400</v>
      </c>
      <c r="I1900">
        <v>11.672000000000001</v>
      </c>
      <c r="K1900" s="19"/>
      <c r="N1900" s="19"/>
    </row>
    <row r="1901" spans="2:14" x14ac:dyDescent="0.25">
      <c r="B1901" s="19">
        <v>44403</v>
      </c>
      <c r="C1901">
        <v>36.46</v>
      </c>
      <c r="E1901" s="19">
        <v>44403</v>
      </c>
      <c r="F1901">
        <v>51.71</v>
      </c>
      <c r="H1901" s="19">
        <v>44403</v>
      </c>
      <c r="I1901">
        <v>11.874000000000001</v>
      </c>
      <c r="K1901" s="19"/>
      <c r="N1901" s="19"/>
    </row>
    <row r="1902" spans="2:14" x14ac:dyDescent="0.25">
      <c r="B1902" s="19">
        <v>44404</v>
      </c>
      <c r="C1902">
        <v>36.450000000000003</v>
      </c>
      <c r="E1902" s="19">
        <v>44404</v>
      </c>
      <c r="F1902">
        <v>51.24</v>
      </c>
      <c r="H1902" s="19">
        <v>44404</v>
      </c>
      <c r="I1902">
        <v>11.744</v>
      </c>
      <c r="K1902" s="19"/>
      <c r="N1902" s="19"/>
    </row>
    <row r="1903" spans="2:14" x14ac:dyDescent="0.25">
      <c r="B1903" s="19">
        <v>44405</v>
      </c>
      <c r="C1903">
        <v>36.71</v>
      </c>
      <c r="E1903" s="19">
        <v>44405</v>
      </c>
      <c r="F1903">
        <v>51.16</v>
      </c>
      <c r="H1903" s="19">
        <v>44405</v>
      </c>
      <c r="I1903">
        <v>11.718</v>
      </c>
      <c r="K1903" s="19"/>
      <c r="N1903" s="19"/>
    </row>
    <row r="1904" spans="2:14" x14ac:dyDescent="0.25">
      <c r="B1904" s="19">
        <v>44406</v>
      </c>
      <c r="C1904">
        <v>37.505000000000003</v>
      </c>
      <c r="E1904" s="19">
        <v>44406</v>
      </c>
      <c r="F1904">
        <v>52.07</v>
      </c>
      <c r="H1904" s="19">
        <v>44406</v>
      </c>
      <c r="I1904">
        <v>11.88</v>
      </c>
      <c r="K1904" s="19"/>
      <c r="N1904" s="19"/>
    </row>
    <row r="1905" spans="2:14" x14ac:dyDescent="0.25">
      <c r="B1905" s="19">
        <v>44407</v>
      </c>
      <c r="C1905">
        <v>36.700000000000003</v>
      </c>
      <c r="E1905" s="19">
        <v>44407</v>
      </c>
      <c r="F1905">
        <v>51.45</v>
      </c>
      <c r="H1905" s="19">
        <v>44407</v>
      </c>
      <c r="I1905">
        <v>11.76</v>
      </c>
      <c r="K1905" s="19"/>
      <c r="N1905" s="19"/>
    </row>
    <row r="1906" spans="2:14" x14ac:dyDescent="0.25">
      <c r="B1906" s="19">
        <v>44410</v>
      </c>
      <c r="C1906">
        <v>36.69</v>
      </c>
      <c r="E1906" s="19">
        <v>44410</v>
      </c>
      <c r="F1906">
        <v>50.95</v>
      </c>
      <c r="H1906" s="19">
        <v>44410</v>
      </c>
      <c r="I1906">
        <v>11.724</v>
      </c>
      <c r="K1906" s="19"/>
      <c r="N1906" s="19"/>
    </row>
    <row r="1907" spans="2:14" x14ac:dyDescent="0.25">
      <c r="B1907" s="19">
        <v>44411</v>
      </c>
      <c r="C1907">
        <v>37.69</v>
      </c>
      <c r="E1907" s="19">
        <v>44411</v>
      </c>
      <c r="F1907">
        <v>51.4</v>
      </c>
      <c r="H1907" s="19">
        <v>44411</v>
      </c>
      <c r="I1907">
        <v>11.788</v>
      </c>
      <c r="K1907" s="19"/>
      <c r="N1907" s="19"/>
    </row>
    <row r="1908" spans="2:14" x14ac:dyDescent="0.25">
      <c r="B1908" s="19">
        <v>44412</v>
      </c>
      <c r="C1908">
        <v>37.590000000000003</v>
      </c>
      <c r="E1908" s="19">
        <v>44412</v>
      </c>
      <c r="F1908">
        <v>52.01</v>
      </c>
      <c r="H1908" s="19">
        <v>44412</v>
      </c>
      <c r="I1908">
        <v>11.97</v>
      </c>
      <c r="K1908" s="19"/>
      <c r="N1908" s="19"/>
    </row>
    <row r="1909" spans="2:14" x14ac:dyDescent="0.25">
      <c r="B1909" s="19">
        <v>44413</v>
      </c>
      <c r="C1909">
        <v>37.674999999999997</v>
      </c>
      <c r="E1909" s="19">
        <v>44413</v>
      </c>
      <c r="F1909">
        <v>52.41</v>
      </c>
      <c r="H1909" s="19">
        <v>44413</v>
      </c>
      <c r="I1909">
        <v>11.933999999999999</v>
      </c>
      <c r="K1909" s="19"/>
      <c r="N1909" s="19"/>
    </row>
    <row r="1910" spans="2:14" x14ac:dyDescent="0.25">
      <c r="B1910" s="19">
        <v>44414</v>
      </c>
      <c r="C1910">
        <v>37.935000000000002</v>
      </c>
      <c r="E1910" s="19">
        <v>44414</v>
      </c>
      <c r="F1910">
        <v>54</v>
      </c>
      <c r="H1910" s="19">
        <v>44414</v>
      </c>
      <c r="I1910">
        <v>12.282</v>
      </c>
      <c r="K1910" s="19"/>
      <c r="N1910" s="19"/>
    </row>
    <row r="1911" spans="2:14" x14ac:dyDescent="0.25">
      <c r="B1911" s="19">
        <v>44417</v>
      </c>
      <c r="C1911">
        <v>37.814999999999998</v>
      </c>
      <c r="E1911" s="19">
        <v>44417</v>
      </c>
      <c r="F1911">
        <v>54.21</v>
      </c>
      <c r="H1911" s="19">
        <v>44417</v>
      </c>
      <c r="I1911">
        <v>12.288</v>
      </c>
      <c r="K1911" s="19"/>
      <c r="N1911" s="19"/>
    </row>
    <row r="1912" spans="2:14" x14ac:dyDescent="0.25">
      <c r="B1912" s="19">
        <v>44418</v>
      </c>
      <c r="C1912">
        <v>37.630000000000003</v>
      </c>
      <c r="E1912" s="19">
        <v>44418</v>
      </c>
      <c r="F1912">
        <v>54.02</v>
      </c>
      <c r="H1912" s="19">
        <v>44418</v>
      </c>
      <c r="I1912">
        <v>12.252000000000001</v>
      </c>
      <c r="K1912" s="19"/>
      <c r="N1912" s="19"/>
    </row>
    <row r="1913" spans="2:14" x14ac:dyDescent="0.25">
      <c r="B1913" s="19">
        <v>44419</v>
      </c>
      <c r="C1913">
        <v>38.159999999999997</v>
      </c>
      <c r="E1913" s="19">
        <v>44419</v>
      </c>
      <c r="F1913">
        <v>54.77</v>
      </c>
      <c r="H1913" s="19">
        <v>44419</v>
      </c>
      <c r="I1913">
        <v>12.324</v>
      </c>
      <c r="K1913" s="19"/>
      <c r="N1913" s="19"/>
    </row>
    <row r="1914" spans="2:14" x14ac:dyDescent="0.25">
      <c r="B1914" s="19">
        <v>44420</v>
      </c>
      <c r="C1914">
        <v>38.325000000000003</v>
      </c>
      <c r="E1914" s="19">
        <v>44420</v>
      </c>
      <c r="F1914">
        <v>54.32</v>
      </c>
      <c r="H1914" s="19">
        <v>44420</v>
      </c>
      <c r="I1914">
        <v>12.242000000000001</v>
      </c>
      <c r="K1914" s="19"/>
      <c r="N1914" s="19"/>
    </row>
    <row r="1915" spans="2:14" x14ac:dyDescent="0.25">
      <c r="B1915" s="19">
        <v>44421</v>
      </c>
      <c r="C1915">
        <v>38.22</v>
      </c>
      <c r="E1915" s="19">
        <v>44421</v>
      </c>
      <c r="F1915">
        <v>54.38</v>
      </c>
      <c r="H1915" s="19">
        <v>44421</v>
      </c>
      <c r="I1915">
        <v>12.294</v>
      </c>
      <c r="K1915" s="19"/>
      <c r="N1915" s="19"/>
    </row>
    <row r="1916" spans="2:14" x14ac:dyDescent="0.25">
      <c r="B1916" s="19">
        <v>44424</v>
      </c>
      <c r="C1916">
        <v>37.75</v>
      </c>
      <c r="E1916" s="19">
        <v>44424</v>
      </c>
      <c r="F1916">
        <v>53.85</v>
      </c>
      <c r="H1916" s="19">
        <v>44424</v>
      </c>
      <c r="I1916">
        <v>12.183999999999999</v>
      </c>
      <c r="K1916" s="19"/>
      <c r="N1916" s="19"/>
    </row>
    <row r="1917" spans="2:14" x14ac:dyDescent="0.25">
      <c r="B1917" s="19">
        <v>44425</v>
      </c>
      <c r="C1917">
        <v>37.825000000000003</v>
      </c>
      <c r="E1917" s="19">
        <v>44425</v>
      </c>
      <c r="F1917">
        <v>52.86</v>
      </c>
      <c r="H1917" s="19">
        <v>44425</v>
      </c>
      <c r="I1917">
        <v>11.948</v>
      </c>
      <c r="K1917" s="19"/>
      <c r="N1917" s="19"/>
    </row>
    <row r="1918" spans="2:14" x14ac:dyDescent="0.25">
      <c r="B1918" s="19">
        <v>44426</v>
      </c>
      <c r="C1918">
        <v>37.725000000000001</v>
      </c>
      <c r="E1918" s="19">
        <v>44426</v>
      </c>
      <c r="F1918">
        <v>53.34</v>
      </c>
      <c r="H1918" s="19">
        <v>44426</v>
      </c>
      <c r="I1918">
        <v>11.976000000000001</v>
      </c>
      <c r="K1918" s="19"/>
      <c r="N1918" s="19"/>
    </row>
    <row r="1919" spans="2:14" x14ac:dyDescent="0.25">
      <c r="B1919" s="19">
        <v>44427</v>
      </c>
      <c r="C1919">
        <v>36.305</v>
      </c>
      <c r="E1919" s="19">
        <v>44427</v>
      </c>
      <c r="F1919">
        <v>51.91</v>
      </c>
      <c r="H1919" s="19">
        <v>44427</v>
      </c>
      <c r="I1919">
        <v>11.73</v>
      </c>
      <c r="K1919" s="19"/>
      <c r="N1919" s="19"/>
    </row>
    <row r="1920" spans="2:14" x14ac:dyDescent="0.25">
      <c r="B1920" s="19">
        <v>44428</v>
      </c>
      <c r="C1920">
        <v>36.465000000000003</v>
      </c>
      <c r="E1920" s="19">
        <v>44428</v>
      </c>
      <c r="F1920">
        <v>52.1</v>
      </c>
      <c r="H1920" s="19">
        <v>44428</v>
      </c>
      <c r="I1920">
        <v>11.75</v>
      </c>
      <c r="K1920" s="19"/>
      <c r="N1920" s="19"/>
    </row>
    <row r="1921" spans="2:14" x14ac:dyDescent="0.25">
      <c r="B1921" s="19">
        <v>44431</v>
      </c>
      <c r="C1921">
        <v>37.08</v>
      </c>
      <c r="E1921" s="19">
        <v>44431</v>
      </c>
      <c r="F1921">
        <v>52.71</v>
      </c>
      <c r="H1921" s="19">
        <v>44431</v>
      </c>
      <c r="I1921">
        <v>11.956</v>
      </c>
      <c r="K1921" s="19"/>
      <c r="N1921" s="19"/>
    </row>
    <row r="1922" spans="2:14" x14ac:dyDescent="0.25">
      <c r="B1922" s="19">
        <v>44432</v>
      </c>
      <c r="C1922">
        <v>37.159999999999997</v>
      </c>
      <c r="E1922" s="19">
        <v>44432</v>
      </c>
      <c r="F1922">
        <v>53.07</v>
      </c>
      <c r="H1922" s="19">
        <v>44432</v>
      </c>
      <c r="I1922">
        <v>12.038</v>
      </c>
      <c r="K1922" s="19"/>
      <c r="N1922" s="19"/>
    </row>
    <row r="1923" spans="2:14" x14ac:dyDescent="0.25">
      <c r="B1923" s="19">
        <v>44433</v>
      </c>
      <c r="C1923">
        <v>37.335000000000001</v>
      </c>
      <c r="E1923" s="19">
        <v>44433</v>
      </c>
      <c r="F1923">
        <v>54.15</v>
      </c>
      <c r="H1923" s="19">
        <v>44433</v>
      </c>
      <c r="I1923">
        <v>12.204000000000001</v>
      </c>
      <c r="K1923" s="19"/>
      <c r="N1923" s="19"/>
    </row>
    <row r="1924" spans="2:14" x14ac:dyDescent="0.25">
      <c r="B1924" s="19">
        <v>44434</v>
      </c>
      <c r="C1924">
        <v>37.31</v>
      </c>
      <c r="E1924" s="19">
        <v>44434</v>
      </c>
      <c r="F1924">
        <v>53.67</v>
      </c>
      <c r="H1924" s="19">
        <v>44434</v>
      </c>
      <c r="I1924">
        <v>12.122</v>
      </c>
      <c r="K1924" s="19"/>
      <c r="N1924" s="19"/>
    </row>
    <row r="1925" spans="2:14" x14ac:dyDescent="0.25">
      <c r="B1925" s="19">
        <v>44435</v>
      </c>
      <c r="C1925">
        <v>37.75</v>
      </c>
      <c r="E1925" s="19">
        <v>44435</v>
      </c>
      <c r="F1925">
        <v>53.46</v>
      </c>
      <c r="H1925" s="19">
        <v>44435</v>
      </c>
      <c r="I1925">
        <v>12.114000000000001</v>
      </c>
      <c r="K1925" s="19"/>
      <c r="N1925" s="19"/>
    </row>
    <row r="1926" spans="2:14" x14ac:dyDescent="0.25">
      <c r="B1926" s="19">
        <v>44438</v>
      </c>
      <c r="C1926">
        <v>37.704999999999998</v>
      </c>
      <c r="E1926" s="19">
        <v>44438</v>
      </c>
      <c r="F1926">
        <v>53</v>
      </c>
      <c r="H1926" s="19">
        <v>44438</v>
      </c>
      <c r="I1926">
        <v>12.087999999999999</v>
      </c>
      <c r="K1926" s="19"/>
      <c r="N1926" s="19"/>
    </row>
    <row r="1927" spans="2:14" x14ac:dyDescent="0.25">
      <c r="B1927" s="19">
        <v>44439</v>
      </c>
      <c r="C1927">
        <v>37.344999999999999</v>
      </c>
      <c r="E1927" s="19">
        <v>44439</v>
      </c>
      <c r="F1927">
        <v>53.73</v>
      </c>
      <c r="H1927" s="19">
        <v>44439</v>
      </c>
      <c r="I1927">
        <v>12.21</v>
      </c>
      <c r="K1927" s="19"/>
      <c r="N1927" s="19"/>
    </row>
    <row r="1928" spans="2:14" x14ac:dyDescent="0.25">
      <c r="B1928" s="19">
        <v>44440</v>
      </c>
      <c r="C1928">
        <v>37.1</v>
      </c>
      <c r="E1928" s="19">
        <v>44440</v>
      </c>
      <c r="F1928">
        <v>54.8</v>
      </c>
      <c r="H1928" s="19">
        <v>44440</v>
      </c>
      <c r="I1928">
        <v>12.327999999999999</v>
      </c>
      <c r="K1928" s="19"/>
      <c r="N1928" s="19"/>
    </row>
    <row r="1929" spans="2:14" x14ac:dyDescent="0.25">
      <c r="B1929" s="19">
        <v>44441</v>
      </c>
      <c r="C1929">
        <v>37.58</v>
      </c>
      <c r="E1929" s="19">
        <v>44441</v>
      </c>
      <c r="F1929">
        <v>54.8</v>
      </c>
      <c r="H1929" s="19">
        <v>44441</v>
      </c>
      <c r="I1929">
        <v>12.356</v>
      </c>
      <c r="K1929" s="19"/>
      <c r="N1929" s="19"/>
    </row>
    <row r="1930" spans="2:14" x14ac:dyDescent="0.25">
      <c r="B1930" s="19">
        <v>44442</v>
      </c>
      <c r="C1930">
        <v>37.265000000000001</v>
      </c>
      <c r="E1930" s="19">
        <v>44442</v>
      </c>
      <c r="F1930">
        <v>53.87</v>
      </c>
      <c r="H1930" s="19">
        <v>44442</v>
      </c>
      <c r="I1930">
        <v>12.118</v>
      </c>
      <c r="K1930" s="19"/>
      <c r="N1930" s="19"/>
    </row>
    <row r="1931" spans="2:14" x14ac:dyDescent="0.25">
      <c r="B1931" s="19">
        <v>44445</v>
      </c>
      <c r="C1931">
        <v>37.664999999999999</v>
      </c>
      <c r="E1931" s="19">
        <v>44445</v>
      </c>
      <c r="F1931">
        <v>54.12</v>
      </c>
      <c r="H1931" s="19">
        <v>44445</v>
      </c>
      <c r="I1931">
        <v>12.218</v>
      </c>
      <c r="K1931" s="19"/>
      <c r="N1931" s="19"/>
    </row>
    <row r="1932" spans="2:14" x14ac:dyDescent="0.25">
      <c r="B1932" s="19">
        <v>44446</v>
      </c>
      <c r="C1932">
        <v>37.615000000000002</v>
      </c>
      <c r="E1932" s="19">
        <v>44446</v>
      </c>
      <c r="F1932">
        <v>54.33</v>
      </c>
      <c r="H1932" s="19">
        <v>44446</v>
      </c>
      <c r="I1932">
        <v>12.244</v>
      </c>
      <c r="K1932" s="19"/>
      <c r="N1932" s="19"/>
    </row>
    <row r="1933" spans="2:14" x14ac:dyDescent="0.25">
      <c r="B1933" s="19">
        <v>44447</v>
      </c>
      <c r="C1933">
        <v>37.26</v>
      </c>
      <c r="E1933" s="19">
        <v>44447</v>
      </c>
      <c r="F1933">
        <v>53.5</v>
      </c>
      <c r="H1933" s="19">
        <v>44447</v>
      </c>
      <c r="I1933">
        <v>12.086</v>
      </c>
      <c r="K1933" s="19"/>
      <c r="N1933" s="19"/>
    </row>
    <row r="1934" spans="2:14" x14ac:dyDescent="0.25">
      <c r="B1934" s="19">
        <v>44448</v>
      </c>
      <c r="C1934">
        <v>36.945</v>
      </c>
      <c r="E1934" s="19">
        <v>44448</v>
      </c>
      <c r="F1934">
        <v>53.74</v>
      </c>
      <c r="H1934" s="19">
        <v>44448</v>
      </c>
      <c r="I1934">
        <v>12.106</v>
      </c>
      <c r="K1934" s="19"/>
      <c r="N1934" s="19"/>
    </row>
    <row r="1935" spans="2:14" x14ac:dyDescent="0.25">
      <c r="B1935" s="19">
        <v>44449</v>
      </c>
      <c r="C1935">
        <v>36.630000000000003</v>
      </c>
      <c r="E1935" s="19">
        <v>44449</v>
      </c>
      <c r="F1935">
        <v>52.82</v>
      </c>
      <c r="H1935" s="19">
        <v>44449</v>
      </c>
      <c r="I1935">
        <v>11.974</v>
      </c>
      <c r="K1935" s="19"/>
      <c r="N1935" s="19"/>
    </row>
    <row r="1936" spans="2:14" x14ac:dyDescent="0.25">
      <c r="B1936" s="19">
        <v>44452</v>
      </c>
      <c r="C1936">
        <v>37.75</v>
      </c>
      <c r="E1936" s="19">
        <v>44452</v>
      </c>
      <c r="F1936">
        <v>54.02</v>
      </c>
      <c r="H1936" s="19">
        <v>44452</v>
      </c>
      <c r="I1936">
        <v>12.128</v>
      </c>
      <c r="K1936" s="19"/>
      <c r="N1936" s="19"/>
    </row>
    <row r="1937" spans="2:14" x14ac:dyDescent="0.25">
      <c r="B1937" s="19">
        <v>44453</v>
      </c>
      <c r="C1937">
        <v>37.844999999999999</v>
      </c>
      <c r="E1937" s="19">
        <v>44453</v>
      </c>
      <c r="F1937">
        <v>53.39</v>
      </c>
      <c r="H1937" s="19">
        <v>44453</v>
      </c>
      <c r="I1937">
        <v>11.82</v>
      </c>
      <c r="K1937" s="19"/>
      <c r="N1937" s="19"/>
    </row>
    <row r="1938" spans="2:14" x14ac:dyDescent="0.25">
      <c r="B1938" s="19">
        <v>44454</v>
      </c>
      <c r="C1938">
        <v>38.69</v>
      </c>
      <c r="E1938" s="19">
        <v>44454</v>
      </c>
      <c r="F1938">
        <v>53.63</v>
      </c>
      <c r="H1938" s="19">
        <v>44454</v>
      </c>
      <c r="I1938">
        <v>11.836</v>
      </c>
      <c r="K1938" s="19"/>
      <c r="N1938" s="19"/>
    </row>
    <row r="1939" spans="2:14" x14ac:dyDescent="0.25">
      <c r="B1939" s="19">
        <v>44455</v>
      </c>
      <c r="C1939">
        <v>38.72</v>
      </c>
      <c r="E1939" s="19">
        <v>44455</v>
      </c>
      <c r="F1939">
        <v>54.16</v>
      </c>
      <c r="H1939" s="19">
        <v>44455</v>
      </c>
      <c r="I1939">
        <v>11.87</v>
      </c>
      <c r="K1939" s="19"/>
      <c r="N1939" s="19"/>
    </row>
    <row r="1940" spans="2:14" x14ac:dyDescent="0.25">
      <c r="B1940" s="19">
        <v>44456</v>
      </c>
      <c r="C1940">
        <v>38.39</v>
      </c>
      <c r="E1940" s="19">
        <v>44456</v>
      </c>
      <c r="F1940">
        <v>53.54</v>
      </c>
      <c r="H1940" s="19">
        <v>44456</v>
      </c>
      <c r="I1940">
        <v>11.66</v>
      </c>
      <c r="K1940" s="19"/>
      <c r="N1940" s="19"/>
    </row>
    <row r="1941" spans="2:14" x14ac:dyDescent="0.25">
      <c r="B1941" s="19">
        <v>44459</v>
      </c>
      <c r="C1941">
        <v>37.844999999999999</v>
      </c>
      <c r="E1941" s="19">
        <v>44459</v>
      </c>
      <c r="F1941">
        <v>51.15</v>
      </c>
      <c r="H1941" s="19">
        <v>44459</v>
      </c>
      <c r="I1941">
        <v>11.21</v>
      </c>
      <c r="K1941" s="19"/>
      <c r="N1941" s="19"/>
    </row>
    <row r="1942" spans="2:14" x14ac:dyDescent="0.25">
      <c r="B1942" s="19">
        <v>44460</v>
      </c>
      <c r="C1942">
        <v>38.094999999999999</v>
      </c>
      <c r="E1942" s="19">
        <v>44460</v>
      </c>
      <c r="F1942">
        <v>51.36</v>
      </c>
      <c r="H1942" s="19">
        <v>44460</v>
      </c>
      <c r="I1942">
        <v>11.2</v>
      </c>
      <c r="K1942" s="19"/>
      <c r="N1942" s="19"/>
    </row>
    <row r="1943" spans="2:14" x14ac:dyDescent="0.25">
      <c r="B1943" s="19">
        <v>44461</v>
      </c>
      <c r="C1943">
        <v>39.07</v>
      </c>
      <c r="E1943" s="19">
        <v>44461</v>
      </c>
      <c r="F1943">
        <v>53.16</v>
      </c>
      <c r="H1943" s="19">
        <v>44461</v>
      </c>
      <c r="I1943">
        <v>11.566000000000001</v>
      </c>
      <c r="K1943" s="19"/>
      <c r="N1943" s="19"/>
    </row>
    <row r="1944" spans="2:14" x14ac:dyDescent="0.25">
      <c r="B1944" s="19">
        <v>44462</v>
      </c>
      <c r="C1944">
        <v>39.630000000000003</v>
      </c>
      <c r="E1944" s="19">
        <v>44462</v>
      </c>
      <c r="F1944">
        <v>54.36</v>
      </c>
      <c r="H1944" s="19">
        <v>44462</v>
      </c>
      <c r="I1944">
        <v>11.872</v>
      </c>
      <c r="K1944" s="19"/>
      <c r="N1944" s="19"/>
    </row>
    <row r="1945" spans="2:14" x14ac:dyDescent="0.25">
      <c r="B1945" s="19">
        <v>44463</v>
      </c>
      <c r="C1945">
        <v>39.695</v>
      </c>
      <c r="E1945" s="19">
        <v>44463</v>
      </c>
      <c r="F1945">
        <v>54.8</v>
      </c>
      <c r="H1945" s="19">
        <v>44463</v>
      </c>
      <c r="I1945">
        <v>11.9</v>
      </c>
      <c r="K1945" s="19"/>
      <c r="N1945" s="19"/>
    </row>
    <row r="1946" spans="2:14" x14ac:dyDescent="0.25">
      <c r="B1946" s="19">
        <v>44466</v>
      </c>
      <c r="C1946">
        <v>41.06</v>
      </c>
      <c r="E1946" s="19">
        <v>44466</v>
      </c>
      <c r="F1946">
        <v>56.5</v>
      </c>
      <c r="H1946" s="19">
        <v>44466</v>
      </c>
      <c r="I1946">
        <v>12.318</v>
      </c>
      <c r="K1946" s="19"/>
      <c r="N1946" s="19"/>
    </row>
    <row r="1947" spans="2:14" x14ac:dyDescent="0.25">
      <c r="B1947" s="19">
        <v>44467</v>
      </c>
      <c r="C1947">
        <v>41.594999999999999</v>
      </c>
      <c r="E1947" s="19">
        <v>44467</v>
      </c>
      <c r="F1947">
        <v>54.84</v>
      </c>
      <c r="H1947" s="19">
        <v>44467</v>
      </c>
      <c r="I1947">
        <v>12.04</v>
      </c>
      <c r="K1947" s="19"/>
      <c r="N1947" s="19"/>
    </row>
    <row r="1948" spans="2:14" x14ac:dyDescent="0.25">
      <c r="B1948" s="19">
        <v>44468</v>
      </c>
      <c r="C1948">
        <v>41.034999999999997</v>
      </c>
      <c r="E1948" s="19">
        <v>44468</v>
      </c>
      <c r="F1948">
        <v>55.26</v>
      </c>
      <c r="H1948" s="19">
        <v>44468</v>
      </c>
      <c r="I1948">
        <v>12.045999999999999</v>
      </c>
      <c r="K1948" s="19"/>
      <c r="N1948" s="19"/>
    </row>
    <row r="1949" spans="2:14" x14ac:dyDescent="0.25">
      <c r="B1949" s="19">
        <v>44469</v>
      </c>
      <c r="C1949">
        <v>41.335000000000001</v>
      </c>
      <c r="E1949" s="19">
        <v>44469</v>
      </c>
      <c r="F1949">
        <v>55.44</v>
      </c>
      <c r="H1949" s="19">
        <v>44469</v>
      </c>
      <c r="I1949">
        <v>11.946</v>
      </c>
      <c r="K1949" s="19"/>
      <c r="N1949" s="19"/>
    </row>
    <row r="1950" spans="2:14" x14ac:dyDescent="0.25">
      <c r="B1950" s="19">
        <v>44470</v>
      </c>
      <c r="C1950">
        <v>41.274999999999999</v>
      </c>
      <c r="E1950" s="19">
        <v>44470</v>
      </c>
      <c r="F1950">
        <v>54.89</v>
      </c>
      <c r="H1950" s="19">
        <v>44470</v>
      </c>
      <c r="I1950">
        <v>11.818</v>
      </c>
      <c r="K1950" s="19"/>
      <c r="N1950" s="19"/>
    </row>
    <row r="1951" spans="2:14" x14ac:dyDescent="0.25">
      <c r="B1951" s="19">
        <v>44473</v>
      </c>
      <c r="C1951">
        <v>42.09</v>
      </c>
      <c r="E1951" s="19">
        <v>44473</v>
      </c>
      <c r="F1951">
        <v>54.37</v>
      </c>
      <c r="H1951" s="19">
        <v>44473</v>
      </c>
      <c r="I1951">
        <v>11.776</v>
      </c>
      <c r="K1951" s="19"/>
      <c r="N1951" s="19"/>
    </row>
    <row r="1952" spans="2:14" x14ac:dyDescent="0.25">
      <c r="B1952" s="19">
        <v>44474</v>
      </c>
      <c r="C1952">
        <v>43.35</v>
      </c>
      <c r="E1952" s="19">
        <v>44474</v>
      </c>
      <c r="F1952">
        <v>56.88</v>
      </c>
      <c r="H1952" s="19">
        <v>44474</v>
      </c>
      <c r="I1952">
        <v>12.444000000000001</v>
      </c>
      <c r="K1952" s="19"/>
      <c r="N1952" s="19"/>
    </row>
    <row r="1953" spans="2:14" x14ac:dyDescent="0.25">
      <c r="B1953" s="19">
        <v>44475</v>
      </c>
      <c r="C1953">
        <v>42.755000000000003</v>
      </c>
      <c r="E1953" s="19">
        <v>44475</v>
      </c>
      <c r="F1953">
        <v>56.2</v>
      </c>
      <c r="H1953" s="19">
        <v>44475</v>
      </c>
      <c r="I1953">
        <v>12.391999999999999</v>
      </c>
      <c r="K1953" s="19"/>
      <c r="N1953" s="19"/>
    </row>
    <row r="1954" spans="2:14" x14ac:dyDescent="0.25">
      <c r="B1954" s="19">
        <v>44476</v>
      </c>
      <c r="C1954">
        <v>42.695</v>
      </c>
      <c r="E1954" s="19">
        <v>44476</v>
      </c>
      <c r="F1954">
        <v>57.09</v>
      </c>
      <c r="H1954" s="19">
        <v>44476</v>
      </c>
      <c r="I1954">
        <v>12.792</v>
      </c>
      <c r="K1954" s="19"/>
      <c r="N1954" s="19"/>
    </row>
    <row r="1955" spans="2:14" x14ac:dyDescent="0.25">
      <c r="B1955" s="19">
        <v>44477</v>
      </c>
      <c r="C1955">
        <v>43.35</v>
      </c>
      <c r="E1955" s="19">
        <v>44477</v>
      </c>
      <c r="F1955">
        <v>57</v>
      </c>
      <c r="H1955" s="19">
        <v>44477</v>
      </c>
      <c r="I1955">
        <v>12.83</v>
      </c>
      <c r="K1955" s="19"/>
      <c r="N1955" s="19"/>
    </row>
    <row r="1956" spans="2:14" x14ac:dyDescent="0.25">
      <c r="B1956" s="19">
        <v>44480</v>
      </c>
      <c r="C1956">
        <v>44.22</v>
      </c>
      <c r="E1956" s="19">
        <v>44480</v>
      </c>
      <c r="F1956">
        <v>57.33</v>
      </c>
      <c r="H1956" s="19">
        <v>44480</v>
      </c>
      <c r="I1956">
        <v>12.811999999999999</v>
      </c>
      <c r="K1956" s="19"/>
      <c r="N1956" s="19"/>
    </row>
    <row r="1957" spans="2:14" x14ac:dyDescent="0.25">
      <c r="B1957" s="19">
        <v>44481</v>
      </c>
      <c r="C1957">
        <v>43.7</v>
      </c>
      <c r="E1957" s="19">
        <v>44481</v>
      </c>
      <c r="F1957">
        <v>57.19</v>
      </c>
      <c r="H1957" s="19">
        <v>44481</v>
      </c>
      <c r="I1957">
        <v>12.644</v>
      </c>
      <c r="K1957" s="19"/>
      <c r="N1957" s="19"/>
    </row>
    <row r="1958" spans="2:14" x14ac:dyDescent="0.25">
      <c r="B1958" s="19">
        <v>44482</v>
      </c>
      <c r="C1958">
        <v>43.274999999999999</v>
      </c>
      <c r="E1958" s="19">
        <v>44482</v>
      </c>
      <c r="F1958">
        <v>56.36</v>
      </c>
      <c r="H1958" s="19">
        <v>44482</v>
      </c>
      <c r="I1958">
        <v>12.55</v>
      </c>
      <c r="K1958" s="19"/>
      <c r="N1958" s="19"/>
    </row>
    <row r="1959" spans="2:14" x14ac:dyDescent="0.25">
      <c r="B1959" s="19">
        <v>44483</v>
      </c>
      <c r="C1959">
        <v>43.8</v>
      </c>
      <c r="E1959" s="19">
        <v>44483</v>
      </c>
      <c r="F1959">
        <v>56.63</v>
      </c>
      <c r="H1959" s="19">
        <v>44483</v>
      </c>
      <c r="I1959">
        <v>12.587999999999999</v>
      </c>
      <c r="K1959" s="19"/>
      <c r="N1959" s="19"/>
    </row>
    <row r="1960" spans="2:14" x14ac:dyDescent="0.25">
      <c r="B1960" s="19">
        <v>44484</v>
      </c>
      <c r="C1960">
        <v>44.454999999999998</v>
      </c>
      <c r="E1960" s="19">
        <v>44484</v>
      </c>
      <c r="F1960">
        <v>57.75</v>
      </c>
      <c r="H1960" s="19">
        <v>44484</v>
      </c>
      <c r="I1960">
        <v>12.848000000000001</v>
      </c>
      <c r="K1960" s="19"/>
      <c r="N1960" s="19"/>
    </row>
    <row r="1961" spans="2:14" x14ac:dyDescent="0.25">
      <c r="B1961" s="19">
        <v>44487</v>
      </c>
      <c r="C1961">
        <v>44.65</v>
      </c>
      <c r="E1961" s="19">
        <v>44487</v>
      </c>
      <c r="F1961">
        <v>58.01</v>
      </c>
      <c r="H1961" s="19">
        <v>44487</v>
      </c>
      <c r="I1961">
        <v>12.795999999999999</v>
      </c>
      <c r="K1961" s="19"/>
      <c r="N1961" s="19"/>
    </row>
    <row r="1962" spans="2:14" x14ac:dyDescent="0.25">
      <c r="B1962" s="19">
        <v>44488</v>
      </c>
      <c r="C1962">
        <v>44.83</v>
      </c>
      <c r="E1962" s="19">
        <v>44488</v>
      </c>
      <c r="F1962">
        <v>58.1</v>
      </c>
      <c r="H1962" s="19">
        <v>44488</v>
      </c>
      <c r="I1962">
        <v>12.821999999999999</v>
      </c>
      <c r="K1962" s="19"/>
      <c r="N1962" s="19"/>
    </row>
    <row r="1963" spans="2:14" x14ac:dyDescent="0.25">
      <c r="B1963" s="19">
        <v>44489</v>
      </c>
      <c r="C1963">
        <v>44.865000000000002</v>
      </c>
      <c r="E1963" s="19">
        <v>44489</v>
      </c>
      <c r="F1963">
        <v>58.18</v>
      </c>
      <c r="H1963" s="19">
        <v>44489</v>
      </c>
      <c r="I1963">
        <v>12.914</v>
      </c>
      <c r="K1963" s="19"/>
      <c r="N1963" s="19"/>
    </row>
    <row r="1964" spans="2:14" x14ac:dyDescent="0.25">
      <c r="B1964" s="19">
        <v>44490</v>
      </c>
      <c r="C1964">
        <v>44.22</v>
      </c>
      <c r="E1964" s="19">
        <v>44490</v>
      </c>
      <c r="F1964">
        <v>57.59</v>
      </c>
      <c r="H1964" s="19">
        <v>44490</v>
      </c>
      <c r="I1964">
        <v>12.842000000000001</v>
      </c>
      <c r="K1964" s="19"/>
      <c r="N1964" s="19"/>
    </row>
    <row r="1965" spans="2:14" x14ac:dyDescent="0.25">
      <c r="B1965" s="19">
        <v>44491</v>
      </c>
      <c r="C1965">
        <v>43.805</v>
      </c>
      <c r="E1965" s="19">
        <v>44491</v>
      </c>
      <c r="F1965">
        <v>57.71</v>
      </c>
      <c r="H1965" s="19">
        <v>44491</v>
      </c>
      <c r="I1965">
        <v>12.952</v>
      </c>
      <c r="K1965" s="19"/>
      <c r="N1965" s="19"/>
    </row>
    <row r="1966" spans="2:14" x14ac:dyDescent="0.25">
      <c r="B1966" s="19">
        <v>44494</v>
      </c>
      <c r="C1966">
        <v>43.924999999999997</v>
      </c>
      <c r="E1966" s="19">
        <v>44494</v>
      </c>
      <c r="F1966">
        <v>58.21</v>
      </c>
      <c r="H1966" s="19">
        <v>44494</v>
      </c>
      <c r="I1966">
        <v>13.055999999999999</v>
      </c>
      <c r="K1966" s="19"/>
      <c r="N1966" s="19"/>
    </row>
    <row r="1967" spans="2:14" x14ac:dyDescent="0.25">
      <c r="B1967" s="19">
        <v>44495</v>
      </c>
      <c r="C1967">
        <v>43.744999999999997</v>
      </c>
      <c r="E1967" s="19">
        <v>44495</v>
      </c>
      <c r="F1967">
        <v>58.18</v>
      </c>
      <c r="H1967" s="19">
        <v>44495</v>
      </c>
      <c r="I1967">
        <v>13.04</v>
      </c>
      <c r="K1967" s="19"/>
      <c r="N1967" s="19"/>
    </row>
    <row r="1968" spans="2:14" x14ac:dyDescent="0.25">
      <c r="B1968" s="19">
        <v>44496</v>
      </c>
      <c r="C1968">
        <v>43.634999999999998</v>
      </c>
      <c r="E1968" s="19">
        <v>44496</v>
      </c>
      <c r="F1968">
        <v>57.82</v>
      </c>
      <c r="H1968" s="19">
        <v>44496</v>
      </c>
      <c r="I1968">
        <v>12.972</v>
      </c>
      <c r="K1968" s="19"/>
      <c r="N1968" s="19"/>
    </row>
    <row r="1969" spans="2:14" x14ac:dyDescent="0.25">
      <c r="B1969" s="19">
        <v>44497</v>
      </c>
      <c r="C1969">
        <v>43.295000000000002</v>
      </c>
      <c r="E1969" s="19">
        <v>44497</v>
      </c>
      <c r="F1969">
        <v>57.46</v>
      </c>
      <c r="H1969" s="19">
        <v>44497</v>
      </c>
      <c r="I1969">
        <v>12.952</v>
      </c>
      <c r="K1969" s="19"/>
      <c r="N1969" s="19"/>
    </row>
    <row r="1970" spans="2:14" x14ac:dyDescent="0.25">
      <c r="B1970" s="19">
        <v>44498</v>
      </c>
      <c r="C1970">
        <v>43.37</v>
      </c>
      <c r="E1970" s="19">
        <v>44498</v>
      </c>
      <c r="F1970">
        <v>57.9</v>
      </c>
      <c r="H1970" s="19">
        <v>44498</v>
      </c>
      <c r="I1970">
        <v>13.04</v>
      </c>
      <c r="K1970" s="19"/>
      <c r="N1970" s="19"/>
    </row>
    <row r="1971" spans="2:14" x14ac:dyDescent="0.25">
      <c r="B1971" s="19">
        <v>44501</v>
      </c>
      <c r="C1971">
        <v>43.53</v>
      </c>
      <c r="E1971" s="19">
        <v>44501</v>
      </c>
      <c r="F1971">
        <v>59.67</v>
      </c>
      <c r="H1971" s="19">
        <v>44501</v>
      </c>
      <c r="I1971">
        <v>13.198</v>
      </c>
      <c r="K1971" s="19"/>
      <c r="N1971" s="19"/>
    </row>
    <row r="1972" spans="2:14" x14ac:dyDescent="0.25">
      <c r="B1972" s="19">
        <v>44502</v>
      </c>
      <c r="C1972">
        <v>43.674999999999997</v>
      </c>
      <c r="E1972" s="19">
        <v>44502</v>
      </c>
      <c r="F1972">
        <v>59.43</v>
      </c>
      <c r="H1972" s="19">
        <v>44502</v>
      </c>
      <c r="I1972">
        <v>13.234</v>
      </c>
      <c r="K1972" s="19"/>
      <c r="N1972" s="19"/>
    </row>
    <row r="1973" spans="2:14" x14ac:dyDescent="0.25">
      <c r="B1973" s="19">
        <v>44503</v>
      </c>
      <c r="C1973">
        <v>42.91</v>
      </c>
      <c r="E1973" s="19">
        <v>44503</v>
      </c>
      <c r="F1973">
        <v>59.88</v>
      </c>
      <c r="H1973" s="19">
        <v>44503</v>
      </c>
      <c r="I1973">
        <v>13.292</v>
      </c>
      <c r="K1973" s="19"/>
      <c r="N1973" s="19"/>
    </row>
    <row r="1974" spans="2:14" x14ac:dyDescent="0.25">
      <c r="B1974" s="19">
        <v>44504</v>
      </c>
      <c r="C1974">
        <v>43.25</v>
      </c>
      <c r="E1974" s="19">
        <v>44504</v>
      </c>
      <c r="F1974">
        <v>59.08</v>
      </c>
      <c r="H1974" s="19">
        <v>44504</v>
      </c>
      <c r="I1974">
        <v>13.116</v>
      </c>
      <c r="K1974" s="19"/>
      <c r="N1974" s="19"/>
    </row>
    <row r="1975" spans="2:14" x14ac:dyDescent="0.25">
      <c r="B1975" s="19">
        <v>44505</v>
      </c>
      <c r="C1975">
        <v>43.41</v>
      </c>
      <c r="E1975" s="19">
        <v>44505</v>
      </c>
      <c r="F1975">
        <v>59.51</v>
      </c>
      <c r="H1975" s="19">
        <v>44505</v>
      </c>
      <c r="I1975">
        <v>13.247999999999999</v>
      </c>
      <c r="K1975" s="19"/>
      <c r="N1975" s="19"/>
    </row>
    <row r="1976" spans="2:14" x14ac:dyDescent="0.25">
      <c r="B1976" s="19">
        <v>44508</v>
      </c>
      <c r="C1976">
        <v>43.5</v>
      </c>
      <c r="E1976" s="19">
        <v>44508</v>
      </c>
      <c r="F1976">
        <v>59.39</v>
      </c>
      <c r="H1976" s="19">
        <v>44508</v>
      </c>
      <c r="I1976">
        <v>13.222</v>
      </c>
      <c r="K1976" s="19"/>
      <c r="N1976" s="19"/>
    </row>
    <row r="1977" spans="2:14" x14ac:dyDescent="0.25">
      <c r="B1977" s="19">
        <v>44509</v>
      </c>
      <c r="C1977">
        <v>43.534999999999997</v>
      </c>
      <c r="E1977" s="19">
        <v>44509</v>
      </c>
      <c r="F1977">
        <v>58.87</v>
      </c>
      <c r="H1977" s="19">
        <v>44509</v>
      </c>
      <c r="I1977">
        <v>13.1</v>
      </c>
      <c r="K1977" s="19"/>
      <c r="N1977" s="19"/>
    </row>
    <row r="1978" spans="2:14" x14ac:dyDescent="0.25">
      <c r="B1978" s="19">
        <v>44510</v>
      </c>
      <c r="C1978">
        <v>43.914999999999999</v>
      </c>
      <c r="E1978" s="19">
        <v>44510</v>
      </c>
      <c r="F1978">
        <v>59.2</v>
      </c>
      <c r="H1978" s="19">
        <v>44510</v>
      </c>
      <c r="I1978">
        <v>12.858000000000001</v>
      </c>
      <c r="K1978" s="19"/>
      <c r="N1978" s="19"/>
    </row>
    <row r="1979" spans="2:14" x14ac:dyDescent="0.25">
      <c r="B1979" s="19">
        <v>44511</v>
      </c>
      <c r="C1979">
        <v>43.865000000000002</v>
      </c>
      <c r="E1979" s="19">
        <v>44511</v>
      </c>
      <c r="F1979">
        <v>59.48</v>
      </c>
      <c r="H1979" s="19">
        <v>44511</v>
      </c>
      <c r="I1979">
        <v>12.891999999999999</v>
      </c>
      <c r="K1979" s="19"/>
      <c r="N1979" s="19"/>
    </row>
    <row r="1980" spans="2:14" x14ac:dyDescent="0.25">
      <c r="B1980" s="19">
        <v>44512</v>
      </c>
      <c r="C1980">
        <v>43.174999999999997</v>
      </c>
      <c r="E1980" s="19">
        <v>44512</v>
      </c>
      <c r="F1980">
        <v>59.27</v>
      </c>
      <c r="H1980" s="19">
        <v>44512</v>
      </c>
      <c r="I1980">
        <v>12.731999999999999</v>
      </c>
      <c r="K1980" s="19"/>
      <c r="N1980" s="19"/>
    </row>
    <row r="1981" spans="2:14" x14ac:dyDescent="0.25">
      <c r="B1981" s="19">
        <v>44515</v>
      </c>
      <c r="C1981">
        <v>43.64</v>
      </c>
      <c r="E1981" s="19">
        <v>44515</v>
      </c>
      <c r="F1981">
        <v>61.22</v>
      </c>
      <c r="H1981" s="19">
        <v>44515</v>
      </c>
      <c r="I1981">
        <v>12.782</v>
      </c>
      <c r="K1981" s="19"/>
      <c r="N1981" s="19"/>
    </row>
    <row r="1982" spans="2:14" x14ac:dyDescent="0.25">
      <c r="B1982" s="19">
        <v>44516</v>
      </c>
      <c r="C1982">
        <v>43.86</v>
      </c>
      <c r="E1982" s="19">
        <v>44516</v>
      </c>
      <c r="F1982">
        <v>60.23</v>
      </c>
      <c r="H1982" s="19">
        <v>44516</v>
      </c>
      <c r="I1982">
        <v>12.704000000000001</v>
      </c>
      <c r="K1982" s="19"/>
      <c r="N1982" s="19"/>
    </row>
    <row r="1983" spans="2:14" x14ac:dyDescent="0.25">
      <c r="B1983" s="19">
        <v>44517</v>
      </c>
      <c r="C1983">
        <v>43.54</v>
      </c>
      <c r="E1983" s="19">
        <v>44517</v>
      </c>
      <c r="F1983">
        <v>60.18</v>
      </c>
      <c r="H1983" s="19">
        <v>44517</v>
      </c>
      <c r="I1983">
        <v>12.766</v>
      </c>
      <c r="K1983" s="19"/>
      <c r="N1983" s="19"/>
    </row>
    <row r="1984" spans="2:14" x14ac:dyDescent="0.25">
      <c r="B1984" s="19">
        <v>44518</v>
      </c>
      <c r="C1984">
        <v>43.07</v>
      </c>
      <c r="E1984" s="19">
        <v>44518</v>
      </c>
      <c r="F1984">
        <v>59.52</v>
      </c>
      <c r="H1984" s="19">
        <v>44518</v>
      </c>
      <c r="I1984">
        <v>12.65</v>
      </c>
      <c r="K1984" s="19"/>
      <c r="N1984" s="19"/>
    </row>
    <row r="1985" spans="2:14" x14ac:dyDescent="0.25">
      <c r="B1985" s="19">
        <v>44519</v>
      </c>
      <c r="C1985">
        <v>41.895000000000003</v>
      </c>
      <c r="E1985" s="19">
        <v>44519</v>
      </c>
      <c r="F1985">
        <v>57.72</v>
      </c>
      <c r="H1985" s="19">
        <v>44519</v>
      </c>
      <c r="I1985">
        <v>12.478</v>
      </c>
      <c r="K1985" s="19"/>
      <c r="N1985" s="19"/>
    </row>
    <row r="1986" spans="2:14" x14ac:dyDescent="0.25">
      <c r="B1986" s="19">
        <v>44522</v>
      </c>
      <c r="C1986">
        <v>42.395000000000003</v>
      </c>
      <c r="E1986" s="19">
        <v>44522</v>
      </c>
      <c r="F1986">
        <v>58.64</v>
      </c>
      <c r="H1986" s="19">
        <v>44522</v>
      </c>
      <c r="I1986">
        <v>12.722</v>
      </c>
      <c r="K1986" s="19"/>
      <c r="N1986" s="19"/>
    </row>
    <row r="1987" spans="2:14" x14ac:dyDescent="0.25">
      <c r="B1987" s="19">
        <v>44523</v>
      </c>
      <c r="C1987">
        <v>42.884999999999998</v>
      </c>
      <c r="E1987" s="19">
        <v>44523</v>
      </c>
      <c r="F1987">
        <v>58.89</v>
      </c>
      <c r="H1987" s="19">
        <v>44523</v>
      </c>
      <c r="I1987">
        <v>12.625999999999999</v>
      </c>
      <c r="K1987" s="19"/>
      <c r="N1987" s="19"/>
    </row>
    <row r="1988" spans="2:14" x14ac:dyDescent="0.25">
      <c r="B1988" s="19">
        <v>44524</v>
      </c>
      <c r="C1988">
        <v>43.115000000000002</v>
      </c>
      <c r="E1988" s="19">
        <v>44524</v>
      </c>
      <c r="F1988">
        <v>58.54</v>
      </c>
      <c r="H1988" s="19">
        <v>44524</v>
      </c>
      <c r="I1988">
        <v>12.666</v>
      </c>
      <c r="K1988" s="19"/>
      <c r="N1988" s="19"/>
    </row>
    <row r="1989" spans="2:14" x14ac:dyDescent="0.25">
      <c r="B1989" s="19">
        <v>44525</v>
      </c>
      <c r="C1989">
        <v>43.085000000000001</v>
      </c>
      <c r="E1989" s="19">
        <v>44525</v>
      </c>
      <c r="F1989">
        <v>58.73</v>
      </c>
      <c r="H1989" s="19">
        <v>44525</v>
      </c>
      <c r="I1989">
        <v>12.62</v>
      </c>
      <c r="K1989" s="19"/>
      <c r="N1989" s="19"/>
    </row>
    <row r="1990" spans="2:14" x14ac:dyDescent="0.25">
      <c r="B1990" s="19">
        <v>44526</v>
      </c>
      <c r="C1990">
        <v>40.53</v>
      </c>
      <c r="E1990" s="19">
        <v>44526</v>
      </c>
      <c r="F1990">
        <v>55.29</v>
      </c>
      <c r="H1990" s="19">
        <v>44526</v>
      </c>
      <c r="I1990">
        <v>12.066000000000001</v>
      </c>
      <c r="K1990" s="19"/>
      <c r="N1990" s="19"/>
    </row>
    <row r="1991" spans="2:14" x14ac:dyDescent="0.25">
      <c r="B1991" s="19">
        <v>44529</v>
      </c>
      <c r="C1991">
        <v>41.2</v>
      </c>
      <c r="E1991" s="19">
        <v>44529</v>
      </c>
      <c r="F1991">
        <v>55.38</v>
      </c>
      <c r="H1991" s="19">
        <v>44529</v>
      </c>
      <c r="I1991">
        <v>12.132</v>
      </c>
      <c r="K1991" s="19"/>
      <c r="N1991" s="19"/>
    </row>
    <row r="1992" spans="2:14" x14ac:dyDescent="0.25">
      <c r="B1992" s="19">
        <v>44530</v>
      </c>
      <c r="C1992">
        <v>40.61</v>
      </c>
      <c r="E1992" s="19">
        <v>44530</v>
      </c>
      <c r="F1992">
        <v>55.08</v>
      </c>
      <c r="H1992" s="19">
        <v>44530</v>
      </c>
      <c r="I1992">
        <v>12.066000000000001</v>
      </c>
      <c r="K1992" s="19"/>
      <c r="N1992" s="19"/>
    </row>
    <row r="1993" spans="2:14" x14ac:dyDescent="0.25">
      <c r="B1993" s="19">
        <v>44531</v>
      </c>
      <c r="C1993">
        <v>41.935000000000002</v>
      </c>
      <c r="E1993" s="19">
        <v>44531</v>
      </c>
      <c r="F1993">
        <v>56.59</v>
      </c>
      <c r="H1993" s="19">
        <v>44531</v>
      </c>
      <c r="I1993">
        <v>12.305999999999999</v>
      </c>
      <c r="K1993" s="19"/>
      <c r="N1993" s="19"/>
    </row>
    <row r="1994" spans="2:14" x14ac:dyDescent="0.25">
      <c r="B1994" s="19">
        <v>44532</v>
      </c>
      <c r="C1994">
        <v>42.024999999999999</v>
      </c>
      <c r="E1994" s="19">
        <v>44532</v>
      </c>
      <c r="F1994">
        <v>56.45</v>
      </c>
      <c r="H1994" s="19">
        <v>44532</v>
      </c>
      <c r="I1994">
        <v>12.29</v>
      </c>
      <c r="K1994" s="19"/>
      <c r="N1994" s="19"/>
    </row>
    <row r="1995" spans="2:14" x14ac:dyDescent="0.25">
      <c r="B1995" s="19">
        <v>44533</v>
      </c>
      <c r="C1995">
        <v>42.335000000000001</v>
      </c>
      <c r="E1995" s="19">
        <v>44533</v>
      </c>
      <c r="F1995">
        <v>56.17</v>
      </c>
      <c r="H1995" s="19">
        <v>44533</v>
      </c>
      <c r="I1995">
        <v>12.24</v>
      </c>
      <c r="K1995" s="19"/>
      <c r="N1995" s="19"/>
    </row>
    <row r="1996" spans="2:14" x14ac:dyDescent="0.25">
      <c r="B1996" s="19">
        <v>44536</v>
      </c>
      <c r="C1996">
        <v>43.44</v>
      </c>
      <c r="E1996" s="19">
        <v>44536</v>
      </c>
      <c r="F1996">
        <v>57.34</v>
      </c>
      <c r="H1996" s="19">
        <v>44536</v>
      </c>
      <c r="I1996">
        <v>12.316000000000001</v>
      </c>
      <c r="K1996" s="19"/>
      <c r="N1996" s="19"/>
    </row>
    <row r="1997" spans="2:14" x14ac:dyDescent="0.25">
      <c r="B1997" s="19">
        <v>44537</v>
      </c>
      <c r="C1997">
        <v>44.28</v>
      </c>
      <c r="E1997" s="19">
        <v>44537</v>
      </c>
      <c r="F1997">
        <v>58.26</v>
      </c>
      <c r="H1997" s="19">
        <v>44537</v>
      </c>
      <c r="I1997">
        <v>12.465999999999999</v>
      </c>
      <c r="K1997" s="19"/>
      <c r="N1997" s="19"/>
    </row>
    <row r="1998" spans="2:14" x14ac:dyDescent="0.25">
      <c r="B1998" s="19">
        <v>44538</v>
      </c>
      <c r="C1998">
        <v>44.23</v>
      </c>
      <c r="E1998" s="19">
        <v>44538</v>
      </c>
      <c r="F1998">
        <v>58.13</v>
      </c>
      <c r="H1998" s="19">
        <v>44538</v>
      </c>
      <c r="I1998">
        <v>12.406000000000001</v>
      </c>
      <c r="K1998" s="19"/>
      <c r="N1998" s="19"/>
    </row>
    <row r="1999" spans="2:14" x14ac:dyDescent="0.25">
      <c r="B1999" s="19">
        <v>44539</v>
      </c>
      <c r="C1999">
        <v>43.954999999999998</v>
      </c>
      <c r="E1999" s="19">
        <v>44539</v>
      </c>
      <c r="F1999">
        <v>57.42</v>
      </c>
      <c r="H1999" s="19">
        <v>44539</v>
      </c>
      <c r="I1999">
        <v>12.314</v>
      </c>
      <c r="K1999" s="19"/>
      <c r="N1999" s="19"/>
    </row>
    <row r="2000" spans="2:14" x14ac:dyDescent="0.25">
      <c r="B2000" s="19">
        <v>44540</v>
      </c>
      <c r="C2000">
        <v>44.09</v>
      </c>
      <c r="E2000" s="19">
        <v>44540</v>
      </c>
      <c r="F2000">
        <v>56.71</v>
      </c>
      <c r="H2000" s="19">
        <v>44540</v>
      </c>
      <c r="I2000">
        <v>12.234</v>
      </c>
      <c r="K2000" s="19"/>
      <c r="N2000" s="19"/>
    </row>
    <row r="2001" spans="2:14" x14ac:dyDescent="0.25">
      <c r="B2001" s="19">
        <v>44543</v>
      </c>
      <c r="C2001">
        <v>43.454999999999998</v>
      </c>
      <c r="E2001" s="19">
        <v>44543</v>
      </c>
      <c r="F2001">
        <v>56</v>
      </c>
      <c r="H2001" s="19">
        <v>44543</v>
      </c>
      <c r="I2001">
        <v>12.12</v>
      </c>
      <c r="K2001" s="19"/>
      <c r="N2001" s="19"/>
    </row>
    <row r="2002" spans="2:14" x14ac:dyDescent="0.25">
      <c r="B2002" s="19">
        <v>44544</v>
      </c>
      <c r="C2002">
        <v>43.73</v>
      </c>
      <c r="E2002" s="19">
        <v>44544</v>
      </c>
      <c r="F2002">
        <v>56.09</v>
      </c>
      <c r="H2002" s="19">
        <v>44544</v>
      </c>
      <c r="I2002">
        <v>12.226000000000001</v>
      </c>
      <c r="K2002" s="19"/>
      <c r="N2002" s="19"/>
    </row>
    <row r="2003" spans="2:14" x14ac:dyDescent="0.25">
      <c r="B2003" s="19">
        <v>44545</v>
      </c>
      <c r="C2003">
        <v>43.284999999999997</v>
      </c>
      <c r="E2003" s="19">
        <v>44545</v>
      </c>
      <c r="F2003">
        <v>55.89</v>
      </c>
      <c r="H2003" s="19">
        <v>44545</v>
      </c>
      <c r="I2003">
        <v>12.138</v>
      </c>
      <c r="K2003" s="19"/>
      <c r="N2003" s="19"/>
    </row>
    <row r="2004" spans="2:14" x14ac:dyDescent="0.25">
      <c r="B2004" s="19">
        <v>44546</v>
      </c>
      <c r="C2004">
        <v>44.674999999999997</v>
      </c>
      <c r="E2004" s="19">
        <v>44546</v>
      </c>
      <c r="F2004">
        <v>56.96</v>
      </c>
      <c r="H2004" s="19">
        <v>44546</v>
      </c>
      <c r="I2004">
        <v>12.2</v>
      </c>
      <c r="K2004" s="19"/>
      <c r="N2004" s="19"/>
    </row>
    <row r="2005" spans="2:14" x14ac:dyDescent="0.25">
      <c r="B2005" s="19">
        <v>44547</v>
      </c>
      <c r="C2005">
        <v>43.66</v>
      </c>
      <c r="E2005" s="19">
        <v>44547</v>
      </c>
      <c r="F2005">
        <v>56.17</v>
      </c>
      <c r="H2005" s="19">
        <v>44547</v>
      </c>
      <c r="I2005">
        <v>12.006</v>
      </c>
      <c r="K2005" s="19"/>
      <c r="N2005" s="19"/>
    </row>
    <row r="2006" spans="2:14" x14ac:dyDescent="0.25">
      <c r="B2006" s="19">
        <v>44550</v>
      </c>
      <c r="C2006">
        <v>43.365000000000002</v>
      </c>
      <c r="E2006" s="19">
        <v>44550</v>
      </c>
      <c r="F2006">
        <v>56.42</v>
      </c>
      <c r="H2006" s="19">
        <v>44550</v>
      </c>
      <c r="I2006">
        <v>11.896000000000001</v>
      </c>
      <c r="K2006" s="19"/>
      <c r="N2006" s="19"/>
    </row>
    <row r="2007" spans="2:14" x14ac:dyDescent="0.25">
      <c r="B2007" s="19">
        <v>44551</v>
      </c>
      <c r="C2007">
        <v>44.4</v>
      </c>
      <c r="E2007" s="19">
        <v>44551</v>
      </c>
      <c r="F2007">
        <v>58.86</v>
      </c>
      <c r="H2007" s="19">
        <v>44551</v>
      </c>
      <c r="I2007">
        <v>12.173999999999999</v>
      </c>
      <c r="K2007" s="19"/>
      <c r="N2007" s="19"/>
    </row>
    <row r="2008" spans="2:14" x14ac:dyDescent="0.25">
      <c r="B2008" s="19">
        <v>44552</v>
      </c>
      <c r="C2008">
        <v>44.71</v>
      </c>
      <c r="E2008" s="19">
        <v>44552</v>
      </c>
      <c r="F2008">
        <v>59.35</v>
      </c>
      <c r="H2008" s="19">
        <v>44552</v>
      </c>
      <c r="I2008">
        <v>12.252000000000001</v>
      </c>
      <c r="K2008" s="19"/>
      <c r="N2008" s="19"/>
    </row>
    <row r="2009" spans="2:14" x14ac:dyDescent="0.25">
      <c r="B2009" s="19">
        <v>44553</v>
      </c>
      <c r="C2009">
        <v>45.12</v>
      </c>
      <c r="E2009" s="19">
        <v>44553</v>
      </c>
      <c r="F2009">
        <v>60</v>
      </c>
      <c r="H2009" s="19">
        <v>44553</v>
      </c>
      <c r="I2009">
        <v>12.44</v>
      </c>
      <c r="K2009" s="19"/>
      <c r="N2009" s="19"/>
    </row>
    <row r="2010" spans="2:14" x14ac:dyDescent="0.25">
      <c r="B2010" s="19">
        <v>44554</v>
      </c>
      <c r="C2010">
        <v>44.774999999999999</v>
      </c>
      <c r="E2010" s="19">
        <v>44554</v>
      </c>
      <c r="F2010">
        <v>59.75</v>
      </c>
      <c r="H2010" s="19">
        <v>44554</v>
      </c>
      <c r="I2010">
        <v>12.49</v>
      </c>
      <c r="K2010" s="19"/>
      <c r="N2010" s="19"/>
    </row>
    <row r="2011" spans="2:14" x14ac:dyDescent="0.25">
      <c r="B2011" s="19">
        <v>44557</v>
      </c>
      <c r="C2011">
        <v>44.954999999999998</v>
      </c>
      <c r="E2011" s="19">
        <v>44557</v>
      </c>
      <c r="F2011">
        <v>60.38</v>
      </c>
      <c r="H2011" s="19">
        <v>44557</v>
      </c>
      <c r="I2011">
        <v>12.504</v>
      </c>
      <c r="K2011" s="19"/>
      <c r="N2011" s="19"/>
    </row>
    <row r="2012" spans="2:14" x14ac:dyDescent="0.25">
      <c r="B2012" s="19">
        <v>44558</v>
      </c>
      <c r="C2012">
        <v>45.255000000000003</v>
      </c>
      <c r="E2012" s="19">
        <v>44558</v>
      </c>
      <c r="F2012">
        <v>60.82</v>
      </c>
      <c r="H2012" s="19">
        <v>44558</v>
      </c>
      <c r="I2012">
        <v>12.55</v>
      </c>
      <c r="K2012" s="19"/>
      <c r="N2012" s="19"/>
    </row>
    <row r="2013" spans="2:14" x14ac:dyDescent="0.25">
      <c r="B2013" s="19">
        <v>44559</v>
      </c>
      <c r="C2013">
        <v>44.755000000000003</v>
      </c>
      <c r="E2013" s="19">
        <v>44559</v>
      </c>
      <c r="F2013">
        <v>60.71</v>
      </c>
      <c r="H2013" s="19">
        <v>44559</v>
      </c>
      <c r="I2013">
        <v>12.568</v>
      </c>
      <c r="K2013" s="19"/>
      <c r="N2013" s="19"/>
    </row>
    <row r="2014" spans="2:14" x14ac:dyDescent="0.25">
      <c r="B2014" s="19">
        <v>44560</v>
      </c>
      <c r="C2014">
        <v>44.9</v>
      </c>
      <c r="E2014" s="19">
        <v>44560</v>
      </c>
      <c r="F2014">
        <v>60.67</v>
      </c>
      <c r="H2014" s="19">
        <v>44560</v>
      </c>
      <c r="I2014">
        <v>12.603999999999999</v>
      </c>
      <c r="K2014" s="19"/>
      <c r="N2014" s="19"/>
    </row>
    <row r="2015" spans="2:14" x14ac:dyDescent="0.25">
      <c r="B2015" s="19">
        <v>44561</v>
      </c>
      <c r="C2015">
        <v>44.63</v>
      </c>
      <c r="E2015" s="19">
        <v>44561</v>
      </c>
      <c r="F2015">
        <v>60.77</v>
      </c>
      <c r="H2015" s="19">
        <v>44561</v>
      </c>
      <c r="I2015">
        <v>12.55</v>
      </c>
      <c r="K2015" s="19"/>
      <c r="N2015" s="19"/>
    </row>
    <row r="2016" spans="2:14" x14ac:dyDescent="0.25">
      <c r="B2016" s="19">
        <v>44564</v>
      </c>
      <c r="C2016">
        <v>44.99</v>
      </c>
      <c r="E2016" s="19">
        <v>44564</v>
      </c>
      <c r="F2016">
        <v>61.2</v>
      </c>
      <c r="H2016" s="19">
        <v>44564</v>
      </c>
      <c r="I2016">
        <v>12.738</v>
      </c>
      <c r="K2016" s="19"/>
      <c r="N2016" s="19"/>
    </row>
    <row r="2017" spans="2:14" x14ac:dyDescent="0.25">
      <c r="B2017" s="19">
        <v>44565</v>
      </c>
      <c r="C2017">
        <v>45.37</v>
      </c>
      <c r="E2017" s="19">
        <v>44565</v>
      </c>
      <c r="F2017">
        <v>63.25</v>
      </c>
      <c r="H2017" s="19">
        <v>44565</v>
      </c>
      <c r="I2017">
        <v>13.04</v>
      </c>
      <c r="K2017" s="19"/>
      <c r="N2017" s="19"/>
    </row>
    <row r="2018" spans="2:14" x14ac:dyDescent="0.25">
      <c r="B2018" s="19">
        <v>44566</v>
      </c>
      <c r="C2018">
        <v>45.914999999999999</v>
      </c>
      <c r="E2018" s="19">
        <v>44566</v>
      </c>
      <c r="F2018">
        <v>63.33</v>
      </c>
      <c r="H2018" s="19">
        <v>44566</v>
      </c>
      <c r="I2018">
        <v>13.17</v>
      </c>
      <c r="K2018" s="19"/>
      <c r="N2018" s="19"/>
    </row>
    <row r="2019" spans="2:14" x14ac:dyDescent="0.25">
      <c r="B2019" s="19">
        <v>44567</v>
      </c>
      <c r="C2019">
        <v>45.935000000000002</v>
      </c>
      <c r="E2019" s="19">
        <v>44567</v>
      </c>
      <c r="F2019">
        <v>64.19</v>
      </c>
      <c r="H2019" s="19">
        <v>44567</v>
      </c>
      <c r="I2019">
        <v>13.321999999999999</v>
      </c>
      <c r="K2019" s="19"/>
      <c r="N2019" s="19"/>
    </row>
    <row r="2020" spans="2:14" x14ac:dyDescent="0.25">
      <c r="B2020" s="19">
        <v>44568</v>
      </c>
      <c r="C2020">
        <v>46.46</v>
      </c>
      <c r="E2020" s="19">
        <v>44568</v>
      </c>
      <c r="F2020">
        <v>64.5</v>
      </c>
      <c r="H2020" s="19">
        <v>44568</v>
      </c>
      <c r="I2020">
        <v>13.456</v>
      </c>
      <c r="K2020" s="19"/>
      <c r="N2020" s="19"/>
    </row>
    <row r="2021" spans="2:14" x14ac:dyDescent="0.25">
      <c r="B2021" s="19">
        <v>44571</v>
      </c>
      <c r="C2021">
        <v>46.74</v>
      </c>
      <c r="E2021" s="19">
        <v>44571</v>
      </c>
      <c r="F2021">
        <v>64</v>
      </c>
      <c r="H2021" s="19">
        <v>44571</v>
      </c>
      <c r="I2021">
        <v>13.528</v>
      </c>
      <c r="K2021" s="19"/>
      <c r="N2021" s="19"/>
    </row>
    <row r="2022" spans="2:14" x14ac:dyDescent="0.25">
      <c r="B2022" s="19">
        <v>44572</v>
      </c>
      <c r="C2022">
        <v>47.6</v>
      </c>
      <c r="E2022" s="19">
        <v>44572</v>
      </c>
      <c r="F2022">
        <v>64.36</v>
      </c>
      <c r="H2022" s="19">
        <v>44572</v>
      </c>
      <c r="I2022">
        <v>13.502000000000001</v>
      </c>
      <c r="K2022" s="19"/>
      <c r="N2022" s="19"/>
    </row>
    <row r="2023" spans="2:14" x14ac:dyDescent="0.25">
      <c r="B2023" s="19">
        <v>44573</v>
      </c>
      <c r="C2023">
        <v>49.06</v>
      </c>
      <c r="E2023" s="19">
        <v>44573</v>
      </c>
      <c r="F2023">
        <v>65.33</v>
      </c>
      <c r="H2023" s="19">
        <v>44573</v>
      </c>
      <c r="I2023">
        <v>13.792</v>
      </c>
      <c r="K2023" s="19"/>
      <c r="N2023" s="19"/>
    </row>
    <row r="2024" spans="2:14" x14ac:dyDescent="0.25">
      <c r="B2024" s="19">
        <v>44574</v>
      </c>
      <c r="C2024">
        <v>48.805</v>
      </c>
      <c r="E2024" s="19">
        <v>44574</v>
      </c>
      <c r="F2024">
        <v>66.959999999999994</v>
      </c>
      <c r="H2024" s="19">
        <v>44574</v>
      </c>
      <c r="I2024">
        <v>13.898</v>
      </c>
      <c r="K2024" s="19"/>
      <c r="N2024" s="19"/>
    </row>
    <row r="2025" spans="2:14" x14ac:dyDescent="0.25">
      <c r="B2025" s="19">
        <v>44575</v>
      </c>
      <c r="C2025">
        <v>49.534999999999997</v>
      </c>
      <c r="E2025" s="19">
        <v>44575</v>
      </c>
      <c r="F2025">
        <v>66.3</v>
      </c>
      <c r="H2025" s="19">
        <v>44575</v>
      </c>
      <c r="I2025">
        <v>13.778</v>
      </c>
      <c r="K2025" s="19"/>
      <c r="N2025" s="19"/>
    </row>
    <row r="2026" spans="2:14" x14ac:dyDescent="0.25">
      <c r="B2026" s="19">
        <v>44578</v>
      </c>
      <c r="C2026">
        <v>49.674999999999997</v>
      </c>
      <c r="E2026" s="19">
        <v>44578</v>
      </c>
      <c r="F2026">
        <v>66.05</v>
      </c>
      <c r="H2026" s="19">
        <v>44578</v>
      </c>
      <c r="I2026">
        <v>13.728</v>
      </c>
      <c r="K2026" s="19"/>
      <c r="N2026" s="19"/>
    </row>
    <row r="2027" spans="2:14" x14ac:dyDescent="0.25">
      <c r="B2027" s="19">
        <v>44579</v>
      </c>
      <c r="C2027">
        <v>50.42</v>
      </c>
      <c r="E2027" s="19">
        <v>44579</v>
      </c>
      <c r="F2027">
        <v>66.010000000000005</v>
      </c>
      <c r="H2027" s="19">
        <v>44579</v>
      </c>
      <c r="I2027">
        <v>13.667999999999999</v>
      </c>
      <c r="K2027" s="19"/>
      <c r="N2027" s="19"/>
    </row>
    <row r="2028" spans="2:14" x14ac:dyDescent="0.25">
      <c r="B2028" s="19">
        <v>44580</v>
      </c>
      <c r="C2028">
        <v>51.26</v>
      </c>
      <c r="E2028" s="19">
        <v>44580</v>
      </c>
      <c r="F2028">
        <v>65.400000000000006</v>
      </c>
      <c r="H2028" s="19">
        <v>44580</v>
      </c>
      <c r="I2028">
        <v>13.54</v>
      </c>
      <c r="K2028" s="19"/>
      <c r="N2028" s="19"/>
    </row>
    <row r="2029" spans="2:14" x14ac:dyDescent="0.25">
      <c r="B2029" s="19">
        <v>44581</v>
      </c>
      <c r="C2029">
        <v>50.68</v>
      </c>
      <c r="E2029" s="19">
        <v>44581</v>
      </c>
      <c r="F2029">
        <v>64.11</v>
      </c>
      <c r="H2029" s="19">
        <v>44581</v>
      </c>
      <c r="I2029">
        <v>13.49</v>
      </c>
      <c r="K2029" s="19"/>
      <c r="N2029" s="19"/>
    </row>
    <row r="2030" spans="2:14" x14ac:dyDescent="0.25">
      <c r="B2030" s="19">
        <v>44582</v>
      </c>
      <c r="C2030">
        <v>49.62</v>
      </c>
      <c r="E2030" s="19">
        <v>44582</v>
      </c>
      <c r="F2030">
        <v>62.44</v>
      </c>
      <c r="H2030" s="19">
        <v>44582</v>
      </c>
      <c r="I2030">
        <v>13.284000000000001</v>
      </c>
      <c r="K2030" s="19"/>
      <c r="N2030" s="19"/>
    </row>
    <row r="2031" spans="2:14" x14ac:dyDescent="0.25">
      <c r="B2031" s="19">
        <v>44585</v>
      </c>
      <c r="C2031">
        <v>47.914999999999999</v>
      </c>
      <c r="E2031" s="19">
        <v>44585</v>
      </c>
      <c r="F2031">
        <v>60.1</v>
      </c>
      <c r="H2031" s="19">
        <v>44585</v>
      </c>
      <c r="I2031">
        <v>12.862</v>
      </c>
      <c r="K2031" s="19"/>
      <c r="N2031" s="19"/>
    </row>
    <row r="2032" spans="2:14" x14ac:dyDescent="0.25">
      <c r="B2032" s="19">
        <v>44586</v>
      </c>
      <c r="C2032">
        <v>49.104999999999997</v>
      </c>
      <c r="E2032" s="19">
        <v>44586</v>
      </c>
      <c r="F2032">
        <v>62.06</v>
      </c>
      <c r="H2032" s="19">
        <v>44586</v>
      </c>
      <c r="I2032">
        <v>13.074</v>
      </c>
      <c r="K2032" s="19"/>
      <c r="N2032" s="19"/>
    </row>
    <row r="2033" spans="2:14" x14ac:dyDescent="0.25">
      <c r="B2033" s="19">
        <v>44587</v>
      </c>
      <c r="C2033">
        <v>51.07</v>
      </c>
      <c r="E2033" s="19">
        <v>44587</v>
      </c>
      <c r="F2033">
        <v>63.95</v>
      </c>
      <c r="H2033" s="19">
        <v>44587</v>
      </c>
      <c r="I2033">
        <v>13.326000000000001</v>
      </c>
      <c r="K2033" s="19"/>
      <c r="N2033" s="19"/>
    </row>
    <row r="2034" spans="2:14" x14ac:dyDescent="0.25">
      <c r="B2034" s="19">
        <v>44588</v>
      </c>
      <c r="C2034">
        <v>51.74</v>
      </c>
      <c r="E2034" s="19">
        <v>44588</v>
      </c>
      <c r="F2034">
        <v>64.5</v>
      </c>
      <c r="H2034" s="19">
        <v>44588</v>
      </c>
      <c r="I2034">
        <v>13.401999999999999</v>
      </c>
      <c r="K2034" s="19"/>
      <c r="N2034" s="19"/>
    </row>
    <row r="2035" spans="2:14" x14ac:dyDescent="0.25">
      <c r="B2035" s="19">
        <v>44589</v>
      </c>
      <c r="C2035">
        <v>51.24</v>
      </c>
      <c r="E2035" s="19">
        <v>44589</v>
      </c>
      <c r="F2035">
        <v>62.78</v>
      </c>
      <c r="H2035" s="19">
        <v>44589</v>
      </c>
      <c r="I2035">
        <v>13.262</v>
      </c>
      <c r="K2035" s="19"/>
      <c r="N2035" s="19"/>
    </row>
    <row r="2036" spans="2:14" x14ac:dyDescent="0.25">
      <c r="B2036" s="19">
        <v>44592</v>
      </c>
      <c r="C2036">
        <v>50.22</v>
      </c>
      <c r="E2036" s="19">
        <v>44592</v>
      </c>
      <c r="F2036">
        <v>63</v>
      </c>
      <c r="H2036" s="19">
        <v>44592</v>
      </c>
      <c r="I2036">
        <v>13.28</v>
      </c>
      <c r="K2036" s="19"/>
      <c r="N2036" s="19"/>
    </row>
    <row r="2037" spans="2:14" x14ac:dyDescent="0.25">
      <c r="B2037" s="19">
        <v>44593</v>
      </c>
      <c r="C2037">
        <v>51.3</v>
      </c>
      <c r="E2037" s="19">
        <v>44593</v>
      </c>
      <c r="F2037">
        <v>64.22</v>
      </c>
      <c r="H2037" s="19">
        <v>44593</v>
      </c>
      <c r="I2037">
        <v>13.516</v>
      </c>
      <c r="K2037" s="19"/>
      <c r="N2037" s="19"/>
    </row>
    <row r="2038" spans="2:14" x14ac:dyDescent="0.25">
      <c r="B2038" s="19">
        <v>44594</v>
      </c>
      <c r="C2038">
        <v>50.25</v>
      </c>
      <c r="E2038" s="19">
        <v>44594</v>
      </c>
      <c r="F2038">
        <v>63.47</v>
      </c>
      <c r="H2038" s="19">
        <v>44594</v>
      </c>
      <c r="I2038">
        <v>13.561999999999999</v>
      </c>
      <c r="K2038" s="19"/>
      <c r="N2038" s="19"/>
    </row>
    <row r="2039" spans="2:14" x14ac:dyDescent="0.25">
      <c r="B2039" s="19">
        <v>44595</v>
      </c>
      <c r="C2039">
        <v>49.71</v>
      </c>
      <c r="E2039" s="19">
        <v>44595</v>
      </c>
      <c r="F2039">
        <v>63.64</v>
      </c>
      <c r="H2039" s="19">
        <v>44595</v>
      </c>
      <c r="I2039">
        <v>13.742000000000001</v>
      </c>
      <c r="K2039" s="19"/>
      <c r="N2039" s="19"/>
    </row>
    <row r="2040" spans="2:14" x14ac:dyDescent="0.25">
      <c r="B2040" s="19">
        <v>44596</v>
      </c>
      <c r="C2040">
        <v>50.97</v>
      </c>
      <c r="E2040" s="19">
        <v>44596</v>
      </c>
      <c r="F2040">
        <v>64.3</v>
      </c>
      <c r="H2040" s="19">
        <v>44596</v>
      </c>
      <c r="I2040">
        <v>13.577999999999999</v>
      </c>
      <c r="K2040" s="19"/>
      <c r="N2040" s="19"/>
    </row>
    <row r="2041" spans="2:14" x14ac:dyDescent="0.25">
      <c r="B2041" s="19">
        <v>44599</v>
      </c>
      <c r="C2041">
        <v>51.23</v>
      </c>
      <c r="E2041" s="19">
        <v>44599</v>
      </c>
      <c r="F2041">
        <v>65.69</v>
      </c>
      <c r="H2041" s="19">
        <v>44599</v>
      </c>
      <c r="I2041">
        <v>13.667999999999999</v>
      </c>
      <c r="K2041" s="19"/>
      <c r="N2041" s="19"/>
    </row>
    <row r="2042" spans="2:14" x14ac:dyDescent="0.25">
      <c r="B2042" s="19">
        <v>44600</v>
      </c>
      <c r="C2042">
        <v>51.29</v>
      </c>
      <c r="E2042" s="19">
        <v>44600</v>
      </c>
      <c r="F2042">
        <v>66</v>
      </c>
      <c r="H2042" s="19">
        <v>44600</v>
      </c>
      <c r="I2042">
        <v>13.894</v>
      </c>
      <c r="K2042" s="19"/>
      <c r="N2042" s="19"/>
    </row>
    <row r="2043" spans="2:14" x14ac:dyDescent="0.25">
      <c r="B2043" s="19">
        <v>44601</v>
      </c>
      <c r="C2043">
        <v>52.4</v>
      </c>
      <c r="E2043" s="19">
        <v>44601</v>
      </c>
      <c r="F2043">
        <v>66.709999999999994</v>
      </c>
      <c r="H2043" s="19">
        <v>44601</v>
      </c>
      <c r="I2043">
        <v>13.96</v>
      </c>
      <c r="K2043" s="19"/>
      <c r="N2043" s="19"/>
    </row>
    <row r="2044" spans="2:14" x14ac:dyDescent="0.25">
      <c r="B2044" s="19">
        <v>44602</v>
      </c>
      <c r="C2044">
        <v>51.93</v>
      </c>
      <c r="E2044" s="19">
        <v>44602</v>
      </c>
      <c r="F2044">
        <v>66.56</v>
      </c>
      <c r="H2044" s="19">
        <v>44602</v>
      </c>
      <c r="I2044">
        <v>14.154</v>
      </c>
      <c r="K2044" s="19"/>
      <c r="N2044" s="19"/>
    </row>
    <row r="2045" spans="2:14" x14ac:dyDescent="0.25">
      <c r="B2045" s="19">
        <v>44603</v>
      </c>
      <c r="C2045">
        <v>52.25</v>
      </c>
      <c r="E2045" s="19">
        <v>44603</v>
      </c>
      <c r="F2045">
        <v>64.900000000000006</v>
      </c>
      <c r="H2045" s="19">
        <v>44603</v>
      </c>
      <c r="I2045">
        <v>14.055999999999999</v>
      </c>
      <c r="K2045" s="19"/>
      <c r="N2045" s="19"/>
    </row>
    <row r="2046" spans="2:14" x14ac:dyDescent="0.25">
      <c r="B2046" s="19">
        <v>44606</v>
      </c>
      <c r="C2046">
        <v>51.13</v>
      </c>
      <c r="E2046" s="19">
        <v>44606</v>
      </c>
      <c r="F2046">
        <v>61.75</v>
      </c>
      <c r="H2046" s="19">
        <v>44606</v>
      </c>
      <c r="I2046">
        <v>13.56</v>
      </c>
      <c r="K2046" s="19"/>
      <c r="N2046" s="19"/>
    </row>
    <row r="2047" spans="2:14" x14ac:dyDescent="0.25">
      <c r="B2047" s="19">
        <v>44607</v>
      </c>
      <c r="C2047">
        <v>51</v>
      </c>
      <c r="E2047" s="19">
        <v>44607</v>
      </c>
      <c r="F2047">
        <v>63.53</v>
      </c>
      <c r="H2047" s="19">
        <v>44607</v>
      </c>
      <c r="I2047">
        <v>13.662000000000001</v>
      </c>
      <c r="K2047" s="19"/>
      <c r="N2047" s="19"/>
    </row>
    <row r="2048" spans="2:14" x14ac:dyDescent="0.25">
      <c r="B2048" s="19">
        <v>44608</v>
      </c>
      <c r="C2048">
        <v>51.42</v>
      </c>
      <c r="E2048" s="19">
        <v>44608</v>
      </c>
      <c r="F2048">
        <v>62.75</v>
      </c>
      <c r="H2048" s="19">
        <v>44608</v>
      </c>
      <c r="I2048">
        <v>13.438000000000001</v>
      </c>
      <c r="K2048" s="19"/>
      <c r="N2048" s="19"/>
    </row>
    <row r="2049" spans="2:14" x14ac:dyDescent="0.25">
      <c r="B2049" s="19">
        <v>44609</v>
      </c>
      <c r="C2049">
        <v>50.65</v>
      </c>
      <c r="E2049" s="19">
        <v>44609</v>
      </c>
      <c r="F2049">
        <v>62.02</v>
      </c>
      <c r="H2049" s="19">
        <v>44609</v>
      </c>
      <c r="I2049">
        <v>13.144</v>
      </c>
      <c r="K2049" s="19"/>
      <c r="N2049" s="19"/>
    </row>
    <row r="2050" spans="2:14" x14ac:dyDescent="0.25">
      <c r="B2050" s="19">
        <v>44610</v>
      </c>
      <c r="C2050">
        <v>50.66</v>
      </c>
      <c r="E2050" s="19">
        <v>44610</v>
      </c>
      <c r="F2050">
        <v>61.92</v>
      </c>
      <c r="H2050" s="19">
        <v>44610</v>
      </c>
      <c r="I2050">
        <v>13.055999999999999</v>
      </c>
      <c r="K2050" s="19"/>
      <c r="N2050" s="19"/>
    </row>
    <row r="2051" spans="2:14" x14ac:dyDescent="0.25">
      <c r="B2051" s="19">
        <v>44613</v>
      </c>
      <c r="C2051">
        <v>49.94</v>
      </c>
      <c r="E2051" s="19">
        <v>44613</v>
      </c>
      <c r="F2051">
        <v>61.06</v>
      </c>
      <c r="H2051" s="19">
        <v>44613</v>
      </c>
      <c r="I2051">
        <v>12.834</v>
      </c>
      <c r="K2051" s="19"/>
      <c r="N2051" s="19"/>
    </row>
    <row r="2052" spans="2:14" x14ac:dyDescent="0.25">
      <c r="B2052" s="19">
        <v>44614</v>
      </c>
      <c r="C2052">
        <v>49.884999999999998</v>
      </c>
      <c r="E2052" s="19">
        <v>44614</v>
      </c>
      <c r="F2052">
        <v>60.67</v>
      </c>
      <c r="H2052" s="19">
        <v>44614</v>
      </c>
      <c r="I2052">
        <v>12.795999999999999</v>
      </c>
      <c r="K2052" s="19"/>
      <c r="N2052" s="19"/>
    </row>
    <row r="2053" spans="2:14" x14ac:dyDescent="0.25">
      <c r="B2053" s="19">
        <v>44615</v>
      </c>
      <c r="C2053">
        <v>49.534999999999997</v>
      </c>
      <c r="E2053" s="19">
        <v>44615</v>
      </c>
      <c r="F2053">
        <v>59.55</v>
      </c>
      <c r="H2053" s="19">
        <v>44615</v>
      </c>
      <c r="I2053">
        <v>12.678000000000001</v>
      </c>
      <c r="K2053" s="19"/>
      <c r="N2053" s="19"/>
    </row>
    <row r="2054" spans="2:14" x14ac:dyDescent="0.25">
      <c r="B2054" s="19">
        <v>44616</v>
      </c>
      <c r="C2054">
        <v>47.674999999999997</v>
      </c>
      <c r="E2054" s="19">
        <v>44616</v>
      </c>
      <c r="F2054">
        <v>54.3</v>
      </c>
      <c r="H2054" s="19">
        <v>44616</v>
      </c>
      <c r="I2054">
        <v>11.78</v>
      </c>
      <c r="K2054" s="19"/>
      <c r="N2054" s="19"/>
    </row>
    <row r="2055" spans="2:14" x14ac:dyDescent="0.25">
      <c r="B2055" s="19"/>
      <c r="E2055" s="19"/>
      <c r="H2055" s="19"/>
      <c r="K2055" s="19"/>
      <c r="N2055" s="19"/>
    </row>
    <row r="2056" spans="2:14" x14ac:dyDescent="0.25">
      <c r="B2056" s="19"/>
      <c r="E2056" s="19"/>
      <c r="H2056" s="19"/>
      <c r="K2056" s="19"/>
      <c r="N2056" s="19"/>
    </row>
    <row r="2057" spans="2:14" x14ac:dyDescent="0.25">
      <c r="B2057" s="19"/>
      <c r="E2057" s="19"/>
      <c r="H2057" s="19"/>
      <c r="K2057" s="19"/>
      <c r="N2057" s="19"/>
    </row>
    <row r="2058" spans="2:14" x14ac:dyDescent="0.25">
      <c r="B2058" s="19"/>
      <c r="E2058" s="19"/>
      <c r="H2058" s="19"/>
      <c r="K2058" s="19"/>
      <c r="N2058" s="19"/>
    </row>
    <row r="2059" spans="2:14" x14ac:dyDescent="0.25">
      <c r="B2059" s="19"/>
      <c r="E2059" s="19"/>
      <c r="H2059" s="19"/>
      <c r="K2059" s="19"/>
      <c r="N2059" s="19"/>
    </row>
    <row r="2060" spans="2:14" x14ac:dyDescent="0.25">
      <c r="B2060" s="19"/>
      <c r="E2060" s="19"/>
      <c r="H2060" s="19"/>
      <c r="K2060" s="19"/>
      <c r="N2060" s="19"/>
    </row>
    <row r="2061" spans="2:14" x14ac:dyDescent="0.25">
      <c r="B2061" s="19"/>
      <c r="E2061" s="19"/>
      <c r="H2061" s="19"/>
      <c r="K2061" s="19"/>
      <c r="N2061" s="19"/>
    </row>
    <row r="2062" spans="2:14" x14ac:dyDescent="0.25">
      <c r="B2062" s="19"/>
      <c r="E2062" s="19"/>
      <c r="H2062" s="19"/>
      <c r="K2062" s="19"/>
      <c r="N2062" s="19"/>
    </row>
    <row r="2063" spans="2:14" x14ac:dyDescent="0.25">
      <c r="B2063" s="19"/>
      <c r="E2063" s="19"/>
      <c r="H2063" s="19"/>
      <c r="K2063" s="19"/>
      <c r="N2063" s="19"/>
    </row>
    <row r="2064" spans="2:14" x14ac:dyDescent="0.25">
      <c r="B2064" s="19"/>
      <c r="E2064" s="19"/>
      <c r="H2064" s="19"/>
      <c r="K2064" s="19"/>
      <c r="N2064" s="19"/>
    </row>
    <row r="2065" spans="2:14" x14ac:dyDescent="0.25">
      <c r="B2065" s="19"/>
      <c r="E2065" s="19"/>
      <c r="H2065" s="19"/>
      <c r="K2065" s="19"/>
      <c r="N2065" s="19"/>
    </row>
    <row r="2066" spans="2:14" x14ac:dyDescent="0.25">
      <c r="B2066" s="19"/>
      <c r="E2066" s="19"/>
      <c r="H2066" s="19"/>
      <c r="K2066" s="19"/>
      <c r="N2066" s="19"/>
    </row>
    <row r="2067" spans="2:14" x14ac:dyDescent="0.25">
      <c r="B2067" s="19"/>
      <c r="E2067" s="19"/>
      <c r="H2067" s="19"/>
      <c r="K2067" s="19"/>
      <c r="N2067" s="19"/>
    </row>
    <row r="2068" spans="2:14" x14ac:dyDescent="0.25">
      <c r="B2068" s="19"/>
      <c r="E2068" s="19"/>
      <c r="H2068" s="19"/>
      <c r="K2068" s="19"/>
      <c r="N2068" s="19"/>
    </row>
    <row r="2069" spans="2:14" x14ac:dyDescent="0.25">
      <c r="B2069" s="19"/>
      <c r="E2069" s="19"/>
      <c r="H2069" s="19"/>
      <c r="K2069" s="19"/>
      <c r="N2069" s="19"/>
    </row>
    <row r="2070" spans="2:14" x14ac:dyDescent="0.25">
      <c r="B2070" s="19"/>
      <c r="E2070" s="19"/>
      <c r="H2070" s="19"/>
      <c r="K2070" s="19"/>
      <c r="N2070" s="19"/>
    </row>
    <row r="2071" spans="2:14" x14ac:dyDescent="0.25">
      <c r="B2071" s="19"/>
      <c r="E2071" s="19"/>
      <c r="H2071" s="19"/>
      <c r="K2071" s="19"/>
      <c r="N2071" s="19"/>
    </row>
    <row r="2072" spans="2:14" x14ac:dyDescent="0.25">
      <c r="B2072" s="19"/>
      <c r="E2072" s="19"/>
      <c r="H2072" s="19"/>
      <c r="K2072" s="19"/>
      <c r="N2072" s="19"/>
    </row>
    <row r="2073" spans="2:14" x14ac:dyDescent="0.25">
      <c r="B2073" s="19"/>
      <c r="E2073" s="19"/>
      <c r="H2073" s="19"/>
      <c r="K2073" s="19"/>
      <c r="N2073" s="19"/>
    </row>
    <row r="2074" spans="2:14" x14ac:dyDescent="0.25">
      <c r="B2074" s="19"/>
      <c r="E2074" s="19"/>
      <c r="H2074" s="19"/>
      <c r="K2074" s="19"/>
      <c r="N2074" s="19"/>
    </row>
    <row r="2075" spans="2:14" x14ac:dyDescent="0.25">
      <c r="B2075" s="19"/>
      <c r="E2075" s="19"/>
      <c r="H2075" s="19"/>
      <c r="K2075" s="19"/>
      <c r="N2075" s="19"/>
    </row>
    <row r="2076" spans="2:14" x14ac:dyDescent="0.25">
      <c r="B2076" s="19"/>
      <c r="E2076" s="19"/>
      <c r="H2076" s="19"/>
      <c r="K2076" s="19"/>
      <c r="N2076" s="19"/>
    </row>
    <row r="2077" spans="2:14" x14ac:dyDescent="0.25">
      <c r="B2077" s="19"/>
      <c r="E2077" s="19"/>
      <c r="H2077" s="19"/>
      <c r="K2077" s="19"/>
      <c r="N2077" s="19"/>
    </row>
    <row r="2078" spans="2:14" x14ac:dyDescent="0.25">
      <c r="B2078" s="19"/>
      <c r="E2078" s="19"/>
      <c r="H2078" s="19"/>
      <c r="K2078" s="19"/>
      <c r="N2078" s="19"/>
    </row>
    <row r="2079" spans="2:14" x14ac:dyDescent="0.25">
      <c r="B2079" s="19"/>
      <c r="E2079" s="19"/>
      <c r="H2079" s="19"/>
      <c r="K2079" s="19"/>
      <c r="N2079" s="19"/>
    </row>
    <row r="2080" spans="2:14" x14ac:dyDescent="0.25">
      <c r="B2080" s="19"/>
      <c r="E2080" s="19"/>
      <c r="H2080" s="19"/>
      <c r="K2080" s="19"/>
      <c r="N2080" s="19"/>
    </row>
    <row r="2081" spans="2:14" x14ac:dyDescent="0.25">
      <c r="B2081" s="19"/>
      <c r="E2081" s="19"/>
      <c r="H2081" s="19"/>
      <c r="K2081" s="19"/>
      <c r="N2081" s="19"/>
    </row>
    <row r="2082" spans="2:14" x14ac:dyDescent="0.25">
      <c r="B2082" s="19"/>
      <c r="E2082" s="19"/>
      <c r="H2082" s="19"/>
      <c r="K2082" s="19"/>
      <c r="N2082" s="19"/>
    </row>
    <row r="2083" spans="2:14" x14ac:dyDescent="0.25">
      <c r="B2083" s="19"/>
      <c r="E2083" s="19"/>
      <c r="H2083" s="19"/>
      <c r="K2083" s="19"/>
      <c r="N2083" s="19"/>
    </row>
    <row r="2084" spans="2:14" x14ac:dyDescent="0.25">
      <c r="B2084" s="19"/>
      <c r="E2084" s="19"/>
      <c r="H2084" s="19"/>
      <c r="K2084" s="19"/>
      <c r="N2084" s="19"/>
    </row>
    <row r="2085" spans="2:14" x14ac:dyDescent="0.25">
      <c r="B2085" s="19"/>
      <c r="E2085" s="19"/>
      <c r="H2085" s="19"/>
      <c r="K2085" s="19"/>
      <c r="N2085" s="19"/>
    </row>
    <row r="2086" spans="2:14" x14ac:dyDescent="0.25">
      <c r="B2086" s="19"/>
      <c r="E2086" s="19"/>
      <c r="H2086" s="19"/>
      <c r="K2086" s="19"/>
      <c r="N2086" s="19"/>
    </row>
    <row r="2087" spans="2:14" x14ac:dyDescent="0.25">
      <c r="B2087" s="19"/>
      <c r="E2087" s="19"/>
      <c r="H2087" s="19"/>
      <c r="K2087" s="19"/>
      <c r="N2087" s="19"/>
    </row>
    <row r="2088" spans="2:14" x14ac:dyDescent="0.25">
      <c r="B2088" s="19"/>
      <c r="E2088" s="19"/>
      <c r="H2088" s="19"/>
      <c r="K2088" s="19"/>
      <c r="N2088" s="19"/>
    </row>
    <row r="2089" spans="2:14" x14ac:dyDescent="0.25">
      <c r="B2089" s="19"/>
      <c r="E2089" s="19"/>
      <c r="H2089" s="19"/>
      <c r="K2089" s="19"/>
      <c r="N2089" s="19"/>
    </row>
    <row r="2090" spans="2:14" x14ac:dyDescent="0.25">
      <c r="B2090" s="19"/>
      <c r="E2090" s="19"/>
      <c r="H2090" s="19"/>
      <c r="K2090" s="19"/>
      <c r="N2090" s="19"/>
    </row>
    <row r="2091" spans="2:14" x14ac:dyDescent="0.25">
      <c r="B2091" s="19"/>
      <c r="E2091" s="19"/>
      <c r="H2091" s="19"/>
      <c r="K2091" s="19"/>
      <c r="N2091" s="19"/>
    </row>
    <row r="2092" spans="2:14" x14ac:dyDescent="0.25">
      <c r="B2092" s="19"/>
      <c r="E2092" s="19"/>
      <c r="H2092" s="19"/>
      <c r="K2092" s="19"/>
      <c r="N2092" s="19"/>
    </row>
    <row r="2093" spans="2:14" x14ac:dyDescent="0.25">
      <c r="B2093" s="19"/>
      <c r="E2093" s="19"/>
      <c r="H2093" s="19"/>
      <c r="K2093" s="19"/>
      <c r="N2093" s="19"/>
    </row>
    <row r="2094" spans="2:14" x14ac:dyDescent="0.25">
      <c r="B2094" s="19"/>
      <c r="E2094" s="19"/>
      <c r="H2094" s="19"/>
      <c r="K2094" s="19"/>
      <c r="N2094" s="19"/>
    </row>
    <row r="2095" spans="2:14" x14ac:dyDescent="0.25">
      <c r="B2095" s="19"/>
      <c r="E2095" s="19"/>
      <c r="H2095" s="19"/>
      <c r="K2095" s="19"/>
      <c r="N2095" s="19"/>
    </row>
    <row r="2096" spans="2:14" x14ac:dyDescent="0.25">
      <c r="B2096" s="19"/>
      <c r="E2096" s="19"/>
      <c r="H2096" s="19"/>
      <c r="K2096" s="19"/>
      <c r="N2096" s="19"/>
    </row>
    <row r="2097" spans="2:14" x14ac:dyDescent="0.25">
      <c r="B2097" s="19"/>
      <c r="E2097" s="19"/>
      <c r="H2097" s="19"/>
      <c r="K2097" s="19"/>
      <c r="N2097" s="19"/>
    </row>
    <row r="2098" spans="2:14" x14ac:dyDescent="0.25">
      <c r="B2098" s="19"/>
      <c r="E2098" s="19"/>
      <c r="H2098" s="19"/>
      <c r="K2098" s="19"/>
      <c r="N2098" s="19"/>
    </row>
    <row r="2099" spans="2:14" x14ac:dyDescent="0.25">
      <c r="B2099" s="19"/>
      <c r="E2099" s="19"/>
      <c r="H2099" s="19"/>
      <c r="K2099" s="19"/>
      <c r="N2099" s="19"/>
    </row>
    <row r="2100" spans="2:14" x14ac:dyDescent="0.25">
      <c r="B2100" s="19"/>
      <c r="E2100" s="19"/>
      <c r="H2100" s="19"/>
      <c r="K2100" s="19"/>
      <c r="N2100" s="19"/>
    </row>
    <row r="2101" spans="2:14" x14ac:dyDescent="0.25">
      <c r="B2101" s="19"/>
      <c r="E2101" s="19"/>
      <c r="H2101" s="19"/>
      <c r="K2101" s="19"/>
      <c r="N2101" s="19"/>
    </row>
    <row r="2102" spans="2:14" x14ac:dyDescent="0.25">
      <c r="B2102" s="19"/>
      <c r="E2102" s="19"/>
      <c r="H2102" s="19"/>
      <c r="K2102" s="19"/>
      <c r="N2102" s="19"/>
    </row>
    <row r="2103" spans="2:14" x14ac:dyDescent="0.25">
      <c r="B2103" s="19"/>
      <c r="E2103" s="19"/>
      <c r="H2103" s="19"/>
      <c r="K2103" s="19"/>
      <c r="N2103" s="19"/>
    </row>
    <row r="2104" spans="2:14" x14ac:dyDescent="0.25">
      <c r="B2104" s="19"/>
      <c r="E2104" s="19"/>
      <c r="H2104" s="19"/>
      <c r="K2104" s="19"/>
      <c r="N2104" s="19"/>
    </row>
    <row r="2105" spans="2:14" x14ac:dyDescent="0.25">
      <c r="B2105" s="19"/>
      <c r="E2105" s="19"/>
      <c r="H2105" s="19"/>
      <c r="K2105" s="19"/>
      <c r="N2105" s="19"/>
    </row>
    <row r="2106" spans="2:14" x14ac:dyDescent="0.25">
      <c r="B2106" s="19"/>
      <c r="E2106" s="19"/>
      <c r="H2106" s="19"/>
      <c r="K2106" s="19"/>
      <c r="N2106" s="19"/>
    </row>
    <row r="2107" spans="2:14" x14ac:dyDescent="0.25">
      <c r="B2107" s="19"/>
      <c r="E2107" s="19"/>
      <c r="H2107" s="19"/>
      <c r="K2107" s="19"/>
      <c r="N2107" s="19"/>
    </row>
    <row r="2108" spans="2:14" x14ac:dyDescent="0.25">
      <c r="B2108" s="19"/>
      <c r="E2108" s="19"/>
      <c r="H2108" s="19"/>
      <c r="K2108" s="19"/>
      <c r="N2108" s="19"/>
    </row>
    <row r="2109" spans="2:14" x14ac:dyDescent="0.25">
      <c r="B2109" s="19"/>
      <c r="E2109" s="19"/>
      <c r="H2109" s="19"/>
      <c r="K2109" s="19"/>
      <c r="N2109" s="19"/>
    </row>
    <row r="2110" spans="2:14" x14ac:dyDescent="0.25">
      <c r="B2110" s="19"/>
      <c r="E2110" s="19"/>
      <c r="H2110" s="19"/>
      <c r="K2110" s="19"/>
      <c r="N2110" s="19"/>
    </row>
    <row r="2111" spans="2:14" x14ac:dyDescent="0.25">
      <c r="B2111" s="19"/>
      <c r="E2111" s="19"/>
      <c r="H2111" s="19"/>
      <c r="K2111" s="19"/>
      <c r="N2111" s="19"/>
    </row>
    <row r="2112" spans="2:14" x14ac:dyDescent="0.25">
      <c r="B2112" s="19"/>
      <c r="E2112" s="19"/>
      <c r="H2112" s="19"/>
      <c r="K2112" s="19"/>
      <c r="N2112" s="19"/>
    </row>
    <row r="2113" spans="2:14" x14ac:dyDescent="0.25">
      <c r="B2113" s="19"/>
      <c r="E2113" s="19"/>
      <c r="H2113" s="19"/>
      <c r="K2113" s="19"/>
      <c r="N2113" s="19"/>
    </row>
    <row r="2114" spans="2:14" x14ac:dyDescent="0.25">
      <c r="B2114" s="19"/>
      <c r="E2114" s="19"/>
      <c r="H2114" s="19"/>
      <c r="K2114" s="19"/>
      <c r="N2114" s="19"/>
    </row>
    <row r="2115" spans="2:14" x14ac:dyDescent="0.25">
      <c r="B2115" s="19"/>
      <c r="E2115" s="19"/>
      <c r="H2115" s="19"/>
      <c r="K2115" s="19"/>
      <c r="N2115" s="19"/>
    </row>
    <row r="2116" spans="2:14" x14ac:dyDescent="0.25">
      <c r="B2116" s="19"/>
      <c r="E2116" s="19"/>
      <c r="H2116" s="19"/>
      <c r="K2116" s="19"/>
      <c r="N2116" s="19"/>
    </row>
    <row r="2117" spans="2:14" x14ac:dyDescent="0.25">
      <c r="B2117" s="19"/>
      <c r="E2117" s="19"/>
      <c r="H2117" s="19"/>
      <c r="K2117" s="19"/>
      <c r="N2117" s="19"/>
    </row>
    <row r="2118" spans="2:14" x14ac:dyDescent="0.25">
      <c r="B2118" s="19"/>
      <c r="E2118" s="19"/>
      <c r="H2118" s="19"/>
      <c r="K2118" s="19"/>
      <c r="N2118" s="19"/>
    </row>
    <row r="2119" spans="2:14" x14ac:dyDescent="0.25">
      <c r="B2119" s="19"/>
      <c r="E2119" s="19"/>
      <c r="H2119" s="19"/>
      <c r="K2119" s="19"/>
      <c r="N2119" s="19"/>
    </row>
    <row r="2120" spans="2:14" x14ac:dyDescent="0.25">
      <c r="B2120" s="19"/>
      <c r="E2120" s="19"/>
      <c r="H2120" s="19"/>
      <c r="K2120" s="19"/>
      <c r="N2120" s="19"/>
    </row>
    <row r="2121" spans="2:14" x14ac:dyDescent="0.25">
      <c r="B2121" s="19"/>
      <c r="E2121" s="19"/>
      <c r="H2121" s="19"/>
      <c r="K2121" s="19"/>
      <c r="N2121" s="19"/>
    </row>
    <row r="2122" spans="2:14" x14ac:dyDescent="0.25">
      <c r="B2122" s="19"/>
      <c r="E2122" s="19"/>
      <c r="H2122" s="19"/>
      <c r="K2122" s="19"/>
      <c r="N2122" s="19"/>
    </row>
    <row r="2123" spans="2:14" x14ac:dyDescent="0.25">
      <c r="B2123" s="19"/>
      <c r="E2123" s="19"/>
      <c r="H2123" s="19"/>
      <c r="K2123" s="19"/>
      <c r="N2123" s="19"/>
    </row>
    <row r="2124" spans="2:14" x14ac:dyDescent="0.25">
      <c r="B2124" s="19"/>
      <c r="E2124" s="19"/>
      <c r="H2124" s="19"/>
      <c r="K2124" s="19"/>
      <c r="N2124" s="19"/>
    </row>
    <row r="2125" spans="2:14" x14ac:dyDescent="0.25">
      <c r="B2125" s="19"/>
      <c r="E2125" s="19"/>
      <c r="H2125" s="19"/>
      <c r="K2125" s="19"/>
      <c r="N2125" s="19"/>
    </row>
    <row r="2126" spans="2:14" x14ac:dyDescent="0.25">
      <c r="B2126" s="19"/>
      <c r="E2126" s="19"/>
      <c r="H2126" s="19"/>
      <c r="K2126" s="19"/>
      <c r="N2126" s="19"/>
    </row>
    <row r="2127" spans="2:14" x14ac:dyDescent="0.25">
      <c r="B2127" s="19"/>
      <c r="E2127" s="19"/>
      <c r="H2127" s="19"/>
      <c r="K2127" s="19"/>
      <c r="N2127" s="19"/>
    </row>
    <row r="2128" spans="2:14" x14ac:dyDescent="0.25">
      <c r="B2128" s="19"/>
      <c r="E2128" s="19"/>
      <c r="H2128" s="19"/>
      <c r="K2128" s="19"/>
      <c r="N2128" s="19"/>
    </row>
    <row r="2129" spans="2:14" x14ac:dyDescent="0.25">
      <c r="B2129" s="19"/>
      <c r="E2129" s="19"/>
      <c r="H2129" s="19"/>
      <c r="K2129" s="19"/>
      <c r="N2129" s="19"/>
    </row>
    <row r="2130" spans="2:14" x14ac:dyDescent="0.25">
      <c r="B2130" s="19"/>
      <c r="E2130" s="19"/>
      <c r="H2130" s="19"/>
      <c r="K2130" s="19"/>
      <c r="N2130" s="19"/>
    </row>
    <row r="2131" spans="2:14" x14ac:dyDescent="0.25">
      <c r="B2131" s="19"/>
      <c r="E2131" s="19"/>
      <c r="H2131" s="19"/>
      <c r="K2131" s="19"/>
      <c r="N2131" s="19"/>
    </row>
    <row r="2132" spans="2:14" x14ac:dyDescent="0.25">
      <c r="B2132" s="19"/>
      <c r="E2132" s="19"/>
      <c r="H2132" s="19"/>
      <c r="K2132" s="19"/>
      <c r="N2132" s="19"/>
    </row>
    <row r="2133" spans="2:14" x14ac:dyDescent="0.25">
      <c r="B2133" s="19"/>
      <c r="E2133" s="19"/>
      <c r="H2133" s="19"/>
      <c r="K2133" s="19"/>
      <c r="N2133" s="19"/>
    </row>
    <row r="2134" spans="2:14" x14ac:dyDescent="0.25">
      <c r="B2134" s="19"/>
      <c r="E2134" s="19"/>
      <c r="H2134" s="19"/>
      <c r="K2134" s="19"/>
      <c r="N2134" s="19"/>
    </row>
    <row r="2135" spans="2:14" x14ac:dyDescent="0.25">
      <c r="B2135" s="19"/>
      <c r="E2135" s="19"/>
      <c r="H2135" s="19"/>
      <c r="K2135" s="19"/>
      <c r="N2135" s="19"/>
    </row>
    <row r="2136" spans="2:14" x14ac:dyDescent="0.25">
      <c r="B2136" s="19"/>
      <c r="E2136" s="19"/>
      <c r="H2136" s="19"/>
      <c r="K2136" s="19"/>
      <c r="N2136" s="19"/>
    </row>
    <row r="2137" spans="2:14" x14ac:dyDescent="0.25">
      <c r="B2137" s="19"/>
      <c r="E2137" s="19"/>
      <c r="H2137" s="19"/>
      <c r="K2137" s="19"/>
      <c r="N2137" s="19"/>
    </row>
    <row r="2138" spans="2:14" x14ac:dyDescent="0.25">
      <c r="B2138" s="19"/>
      <c r="E2138" s="19"/>
      <c r="H2138" s="19"/>
      <c r="K2138" s="19"/>
      <c r="N2138" s="19"/>
    </row>
    <row r="2139" spans="2:14" x14ac:dyDescent="0.25">
      <c r="B2139" s="19"/>
      <c r="E2139" s="19"/>
      <c r="H2139" s="19"/>
      <c r="K2139" s="19"/>
      <c r="N2139" s="19"/>
    </row>
    <row r="2140" spans="2:14" x14ac:dyDescent="0.25">
      <c r="B2140" s="19"/>
      <c r="E2140" s="19"/>
      <c r="H2140" s="19"/>
      <c r="K2140" s="19"/>
      <c r="N2140" s="19"/>
    </row>
    <row r="2141" spans="2:14" x14ac:dyDescent="0.25">
      <c r="B2141" s="19"/>
      <c r="E2141" s="19"/>
      <c r="H2141" s="19"/>
      <c r="K2141" s="19"/>
      <c r="N2141" s="19"/>
    </row>
    <row r="2142" spans="2:14" x14ac:dyDescent="0.25">
      <c r="B2142" s="19"/>
      <c r="E2142" s="19"/>
      <c r="H2142" s="19"/>
      <c r="K2142" s="19"/>
      <c r="N2142" s="19"/>
    </row>
    <row r="2143" spans="2:14" x14ac:dyDescent="0.25">
      <c r="B2143" s="19"/>
      <c r="E2143" s="19"/>
      <c r="H2143" s="19"/>
      <c r="K2143" s="19"/>
      <c r="N2143" s="19"/>
    </row>
    <row r="2144" spans="2:14" x14ac:dyDescent="0.25">
      <c r="B2144" s="19"/>
      <c r="E2144" s="19"/>
      <c r="H2144" s="19"/>
      <c r="K2144" s="19"/>
      <c r="N2144" s="19"/>
    </row>
    <row r="2145" spans="2:14" x14ac:dyDescent="0.25">
      <c r="B2145" s="19"/>
      <c r="E2145" s="19"/>
      <c r="H2145" s="19"/>
      <c r="K2145" s="19"/>
      <c r="N2145" s="19"/>
    </row>
    <row r="2146" spans="2:14" x14ac:dyDescent="0.25">
      <c r="B2146" s="19"/>
      <c r="E2146" s="19"/>
      <c r="H2146" s="19"/>
      <c r="K2146" s="19"/>
      <c r="N2146" s="19"/>
    </row>
    <row r="2147" spans="2:14" x14ac:dyDescent="0.25">
      <c r="B2147" s="19"/>
      <c r="E2147" s="19"/>
      <c r="H2147" s="19"/>
      <c r="K2147" s="19"/>
      <c r="N2147" s="19"/>
    </row>
    <row r="2148" spans="2:14" x14ac:dyDescent="0.25">
      <c r="B2148" s="19"/>
      <c r="E2148" s="19"/>
      <c r="H2148" s="19"/>
      <c r="K2148" s="19"/>
      <c r="N2148" s="19"/>
    </row>
    <row r="2149" spans="2:14" x14ac:dyDescent="0.25">
      <c r="B2149" s="19"/>
      <c r="E2149" s="19"/>
      <c r="H2149" s="19"/>
      <c r="K2149" s="19"/>
      <c r="N2149" s="19"/>
    </row>
    <row r="2150" spans="2:14" x14ac:dyDescent="0.25">
      <c r="B2150" s="19"/>
      <c r="E2150" s="19"/>
      <c r="H2150" s="19"/>
      <c r="K2150" s="19"/>
      <c r="N2150" s="19"/>
    </row>
    <row r="2151" spans="2:14" x14ac:dyDescent="0.25">
      <c r="B2151" s="19"/>
      <c r="E2151" s="19"/>
      <c r="H2151" s="19"/>
      <c r="K2151" s="19"/>
      <c r="N2151" s="19"/>
    </row>
    <row r="2152" spans="2:14" x14ac:dyDescent="0.25">
      <c r="B2152" s="19"/>
      <c r="E2152" s="19"/>
      <c r="H2152" s="19"/>
      <c r="K2152" s="19"/>
      <c r="N2152" s="19"/>
    </row>
    <row r="2153" spans="2:14" x14ac:dyDescent="0.25">
      <c r="B2153" s="19"/>
      <c r="E2153" s="19"/>
      <c r="H2153" s="19"/>
      <c r="K2153" s="19"/>
      <c r="N2153" s="19"/>
    </row>
    <row r="2154" spans="2:14" x14ac:dyDescent="0.25">
      <c r="B2154" s="19"/>
      <c r="E2154" s="19"/>
      <c r="H2154" s="19"/>
      <c r="K2154" s="19"/>
      <c r="N2154" s="19"/>
    </row>
    <row r="2155" spans="2:14" x14ac:dyDescent="0.25">
      <c r="B2155" s="19"/>
      <c r="E2155" s="19"/>
      <c r="H2155" s="19"/>
      <c r="K2155" s="19"/>
      <c r="N2155" s="19"/>
    </row>
    <row r="2156" spans="2:14" x14ac:dyDescent="0.25">
      <c r="B2156" s="19"/>
      <c r="E2156" s="19"/>
      <c r="H2156" s="19"/>
      <c r="K2156" s="19"/>
      <c r="N2156" s="19"/>
    </row>
    <row r="2157" spans="2:14" x14ac:dyDescent="0.25">
      <c r="B2157" s="19"/>
      <c r="E2157" s="19"/>
      <c r="H2157" s="19"/>
      <c r="K2157" s="19"/>
      <c r="N2157" s="19"/>
    </row>
    <row r="2158" spans="2:14" x14ac:dyDescent="0.25">
      <c r="B2158" s="19"/>
      <c r="E2158" s="19"/>
      <c r="H2158" s="19"/>
      <c r="K2158" s="19"/>
      <c r="N2158" s="19"/>
    </row>
    <row r="2159" spans="2:14" x14ac:dyDescent="0.25">
      <c r="B2159" s="19"/>
      <c r="E2159" s="19"/>
      <c r="H2159" s="19"/>
      <c r="K2159" s="19"/>
      <c r="N2159" s="19"/>
    </row>
    <row r="2160" spans="2:14" x14ac:dyDescent="0.25">
      <c r="B2160" s="19"/>
      <c r="E2160" s="19"/>
      <c r="H2160" s="19"/>
      <c r="K2160" s="19"/>
      <c r="N2160" s="19"/>
    </row>
    <row r="2161" spans="2:14" x14ac:dyDescent="0.25">
      <c r="B2161" s="19"/>
      <c r="E2161" s="19"/>
      <c r="H2161" s="19"/>
      <c r="K2161" s="19"/>
      <c r="N2161" s="19"/>
    </row>
    <row r="2162" spans="2:14" x14ac:dyDescent="0.25">
      <c r="B2162" s="19"/>
      <c r="E2162" s="19"/>
      <c r="H2162" s="19"/>
      <c r="K2162" s="19"/>
      <c r="N2162" s="19"/>
    </row>
    <row r="2163" spans="2:14" x14ac:dyDescent="0.25">
      <c r="B2163" s="19"/>
      <c r="E2163" s="19"/>
      <c r="H2163" s="19"/>
      <c r="K2163" s="19"/>
      <c r="N2163" s="19"/>
    </row>
    <row r="2164" spans="2:14" x14ac:dyDescent="0.25">
      <c r="B2164" s="19"/>
      <c r="E2164" s="19"/>
      <c r="H2164" s="19"/>
      <c r="K2164" s="19"/>
      <c r="N2164" s="19"/>
    </row>
    <row r="2165" spans="2:14" x14ac:dyDescent="0.25">
      <c r="B2165" s="19"/>
      <c r="E2165" s="19"/>
      <c r="H2165" s="19"/>
      <c r="K2165" s="19"/>
      <c r="N2165" s="19"/>
    </row>
    <row r="2166" spans="2:14" x14ac:dyDescent="0.25">
      <c r="B2166" s="19"/>
      <c r="E2166" s="19"/>
      <c r="H2166" s="19"/>
      <c r="K2166" s="19"/>
      <c r="N2166" s="19"/>
    </row>
    <row r="2167" spans="2:14" x14ac:dyDescent="0.25">
      <c r="B2167" s="19"/>
      <c r="E2167" s="19"/>
      <c r="H2167" s="19"/>
      <c r="K2167" s="19"/>
      <c r="N2167" s="19"/>
    </row>
    <row r="2168" spans="2:14" x14ac:dyDescent="0.25">
      <c r="B2168" s="19"/>
      <c r="E2168" s="19"/>
      <c r="H2168" s="19"/>
      <c r="K2168" s="19"/>
      <c r="N2168" s="19"/>
    </row>
    <row r="2169" spans="2:14" x14ac:dyDescent="0.25">
      <c r="B2169" s="19"/>
      <c r="E2169" s="19"/>
      <c r="H2169" s="19"/>
      <c r="K2169" s="19"/>
      <c r="N2169" s="19"/>
    </row>
    <row r="2170" spans="2:14" x14ac:dyDescent="0.25">
      <c r="B2170" s="19"/>
      <c r="E2170" s="19"/>
      <c r="H2170" s="19"/>
      <c r="K2170" s="19"/>
      <c r="N2170" s="19"/>
    </row>
    <row r="2171" spans="2:14" x14ac:dyDescent="0.25">
      <c r="B2171" s="19"/>
      <c r="E2171" s="19"/>
      <c r="H2171" s="19"/>
      <c r="K2171" s="19"/>
      <c r="N2171" s="19"/>
    </row>
    <row r="2172" spans="2:14" x14ac:dyDescent="0.25">
      <c r="B2172" s="19"/>
      <c r="E2172" s="19"/>
      <c r="H2172" s="19"/>
      <c r="K2172" s="19"/>
      <c r="N2172" s="19"/>
    </row>
    <row r="2173" spans="2:14" x14ac:dyDescent="0.25">
      <c r="B2173" s="19"/>
      <c r="E2173" s="19"/>
      <c r="H2173" s="19"/>
      <c r="K2173" s="19"/>
      <c r="N2173" s="19"/>
    </row>
    <row r="2174" spans="2:14" x14ac:dyDescent="0.25">
      <c r="B2174" s="19"/>
      <c r="E2174" s="19"/>
      <c r="H2174" s="19"/>
      <c r="K2174" s="19"/>
      <c r="N2174" s="19"/>
    </row>
    <row r="2175" spans="2:14" x14ac:dyDescent="0.25">
      <c r="B2175" s="19"/>
      <c r="E2175" s="19"/>
      <c r="H2175" s="19"/>
      <c r="K2175" s="19"/>
      <c r="N2175" s="19"/>
    </row>
    <row r="2176" spans="2:14" x14ac:dyDescent="0.25">
      <c r="B2176" s="19"/>
      <c r="E2176" s="19"/>
      <c r="H2176" s="19"/>
      <c r="K2176" s="19"/>
      <c r="N2176" s="19"/>
    </row>
    <row r="2177" spans="2:14" x14ac:dyDescent="0.25">
      <c r="B2177" s="19"/>
      <c r="E2177" s="19"/>
      <c r="H2177" s="19"/>
      <c r="K2177" s="19"/>
      <c r="N2177" s="19"/>
    </row>
    <row r="2178" spans="2:14" x14ac:dyDescent="0.25">
      <c r="B2178" s="19"/>
      <c r="E2178" s="19"/>
      <c r="H2178" s="19"/>
      <c r="K2178" s="19"/>
      <c r="N2178" s="19"/>
    </row>
    <row r="2179" spans="2:14" x14ac:dyDescent="0.25">
      <c r="B2179" s="19"/>
      <c r="E2179" s="19"/>
      <c r="H2179" s="19"/>
      <c r="K2179" s="19"/>
      <c r="N2179" s="19"/>
    </row>
    <row r="2180" spans="2:14" x14ac:dyDescent="0.25">
      <c r="B2180" s="19"/>
      <c r="E2180" s="19"/>
      <c r="H2180" s="19"/>
      <c r="K2180" s="19"/>
      <c r="N2180" s="19"/>
    </row>
    <row r="2181" spans="2:14" x14ac:dyDescent="0.25">
      <c r="B2181" s="19"/>
      <c r="E2181" s="19"/>
      <c r="H2181" s="19"/>
      <c r="K2181" s="19"/>
      <c r="N2181" s="19"/>
    </row>
    <row r="2182" spans="2:14" x14ac:dyDescent="0.25">
      <c r="B2182" s="19"/>
      <c r="E2182" s="19"/>
      <c r="H2182" s="19"/>
      <c r="K2182" s="19"/>
      <c r="N2182" s="19"/>
    </row>
    <row r="2183" spans="2:14" x14ac:dyDescent="0.25">
      <c r="B2183" s="19"/>
      <c r="E2183" s="19"/>
      <c r="H2183" s="19"/>
      <c r="K2183" s="19"/>
      <c r="N2183" s="19"/>
    </row>
    <row r="2184" spans="2:14" x14ac:dyDescent="0.25">
      <c r="B2184" s="19"/>
      <c r="E2184" s="19"/>
      <c r="H2184" s="19"/>
      <c r="K2184" s="19"/>
      <c r="N2184" s="19"/>
    </row>
    <row r="2185" spans="2:14" x14ac:dyDescent="0.25">
      <c r="B2185" s="19"/>
      <c r="E2185" s="19"/>
      <c r="H2185" s="19"/>
      <c r="K2185" s="19"/>
      <c r="N2185" s="19"/>
    </row>
    <row r="2186" spans="2:14" x14ac:dyDescent="0.25">
      <c r="B2186" s="19"/>
      <c r="E2186" s="19"/>
      <c r="H2186" s="19"/>
      <c r="K2186" s="19"/>
      <c r="N2186" s="19"/>
    </row>
    <row r="2187" spans="2:14" x14ac:dyDescent="0.25">
      <c r="B2187" s="19"/>
      <c r="E2187" s="19"/>
      <c r="H2187" s="19"/>
      <c r="K2187" s="19"/>
      <c r="N2187" s="19"/>
    </row>
    <row r="2188" spans="2:14" x14ac:dyDescent="0.25">
      <c r="B2188" s="19"/>
      <c r="E2188" s="19"/>
      <c r="H2188" s="19"/>
      <c r="K2188" s="19"/>
      <c r="N2188" s="19"/>
    </row>
    <row r="2189" spans="2:14" x14ac:dyDescent="0.25">
      <c r="B2189" s="19"/>
      <c r="E2189" s="19"/>
      <c r="H2189" s="19"/>
      <c r="K2189" s="19"/>
      <c r="N2189" s="19"/>
    </row>
    <row r="2190" spans="2:14" x14ac:dyDescent="0.25">
      <c r="B2190" s="19"/>
      <c r="E2190" s="19"/>
      <c r="H2190" s="19"/>
      <c r="K2190" s="19"/>
      <c r="N2190" s="19"/>
    </row>
    <row r="2191" spans="2:14" x14ac:dyDescent="0.25">
      <c r="B2191" s="19"/>
      <c r="E2191" s="19"/>
      <c r="H2191" s="19"/>
      <c r="K2191" s="19"/>
      <c r="N2191" s="19"/>
    </row>
    <row r="2192" spans="2:14" x14ac:dyDescent="0.25">
      <c r="B2192" s="19"/>
      <c r="E2192" s="19"/>
      <c r="H2192" s="19"/>
      <c r="K2192" s="19"/>
      <c r="N2192" s="19"/>
    </row>
    <row r="2193" spans="2:14" x14ac:dyDescent="0.25">
      <c r="B2193" s="19"/>
      <c r="E2193" s="19"/>
      <c r="H2193" s="19"/>
      <c r="K2193" s="19"/>
      <c r="N2193" s="19"/>
    </row>
    <row r="2194" spans="2:14" x14ac:dyDescent="0.25">
      <c r="B2194" s="19"/>
      <c r="E2194" s="19"/>
      <c r="H2194" s="19"/>
      <c r="K2194" s="19"/>
      <c r="N2194" s="19"/>
    </row>
    <row r="2195" spans="2:14" x14ac:dyDescent="0.25">
      <c r="B2195" s="19"/>
      <c r="E2195" s="19"/>
      <c r="H2195" s="19"/>
      <c r="K2195" s="19"/>
      <c r="N2195" s="19"/>
    </row>
    <row r="2196" spans="2:14" x14ac:dyDescent="0.25">
      <c r="B2196" s="19"/>
      <c r="E2196" s="19"/>
      <c r="H2196" s="19"/>
      <c r="K2196" s="19"/>
      <c r="N2196" s="19"/>
    </row>
    <row r="2197" spans="2:14" x14ac:dyDescent="0.25">
      <c r="B2197" s="19"/>
      <c r="E2197" s="19"/>
      <c r="H2197" s="19"/>
      <c r="K2197" s="19"/>
      <c r="N2197" s="19"/>
    </row>
    <row r="2198" spans="2:14" x14ac:dyDescent="0.25">
      <c r="B2198" s="19"/>
      <c r="E2198" s="19"/>
      <c r="H2198" s="19"/>
      <c r="K2198" s="19"/>
      <c r="N2198" s="19"/>
    </row>
    <row r="2199" spans="2:14" x14ac:dyDescent="0.25">
      <c r="B2199" s="19"/>
      <c r="E2199" s="19"/>
      <c r="H2199" s="19"/>
      <c r="K2199" s="19"/>
      <c r="N2199" s="19"/>
    </row>
    <row r="2200" spans="2:14" x14ac:dyDescent="0.25">
      <c r="B2200" s="19"/>
      <c r="E2200" s="19"/>
      <c r="H2200" s="19"/>
      <c r="K2200" s="19"/>
      <c r="N2200" s="19"/>
    </row>
    <row r="2201" spans="2:14" x14ac:dyDescent="0.25">
      <c r="B2201" s="19"/>
      <c r="E2201" s="19"/>
      <c r="H2201" s="19"/>
      <c r="K2201" s="19"/>
      <c r="N2201" s="19"/>
    </row>
    <row r="2202" spans="2:14" x14ac:dyDescent="0.25">
      <c r="B2202" s="19"/>
      <c r="E2202" s="19"/>
      <c r="H2202" s="19"/>
      <c r="K2202" s="19"/>
      <c r="N2202" s="19"/>
    </row>
    <row r="2203" spans="2:14" x14ac:dyDescent="0.25">
      <c r="B2203" s="19"/>
      <c r="E2203" s="19"/>
      <c r="H2203" s="19"/>
      <c r="K2203" s="19"/>
      <c r="N2203" s="19"/>
    </row>
    <row r="2204" spans="2:14" x14ac:dyDescent="0.25">
      <c r="B2204" s="19"/>
      <c r="E2204" s="19"/>
      <c r="H2204" s="19"/>
      <c r="K2204" s="19"/>
      <c r="N2204" s="19"/>
    </row>
    <row r="2205" spans="2:14" x14ac:dyDescent="0.25">
      <c r="B2205" s="19"/>
      <c r="E2205" s="19"/>
      <c r="H2205" s="19"/>
      <c r="K2205" s="19"/>
      <c r="N2205" s="19"/>
    </row>
    <row r="2206" spans="2:14" x14ac:dyDescent="0.25">
      <c r="B2206" s="19"/>
      <c r="E2206" s="19"/>
      <c r="H2206" s="19"/>
      <c r="K2206" s="19"/>
      <c r="N2206" s="19"/>
    </row>
    <row r="2207" spans="2:14" x14ac:dyDescent="0.25">
      <c r="B2207" s="19"/>
      <c r="E2207" s="19"/>
      <c r="H2207" s="19"/>
      <c r="K2207" s="19"/>
      <c r="N2207" s="19"/>
    </row>
    <row r="2208" spans="2:14" x14ac:dyDescent="0.25">
      <c r="B2208" s="19"/>
      <c r="E2208" s="19"/>
      <c r="H2208" s="19"/>
      <c r="K2208" s="19"/>
      <c r="N2208" s="19"/>
    </row>
    <row r="2209" spans="2:14" x14ac:dyDescent="0.25">
      <c r="B2209" s="19"/>
      <c r="E2209" s="19"/>
      <c r="H2209" s="19"/>
      <c r="K2209" s="19"/>
      <c r="N2209" s="19"/>
    </row>
    <row r="2210" spans="2:14" x14ac:dyDescent="0.25">
      <c r="B2210" s="19"/>
      <c r="E2210" s="19"/>
      <c r="H2210" s="19"/>
      <c r="K2210" s="19"/>
      <c r="N2210" s="19"/>
    </row>
    <row r="2211" spans="2:14" x14ac:dyDescent="0.25">
      <c r="B2211" s="19"/>
      <c r="E2211" s="19"/>
      <c r="H2211" s="19"/>
      <c r="K2211" s="19"/>
      <c r="N2211" s="19"/>
    </row>
    <row r="2212" spans="2:14" x14ac:dyDescent="0.25">
      <c r="B2212" s="19"/>
      <c r="E2212" s="19"/>
      <c r="H2212" s="19"/>
      <c r="K2212" s="19"/>
      <c r="N2212" s="19"/>
    </row>
    <row r="2213" spans="2:14" x14ac:dyDescent="0.25">
      <c r="B2213" s="19"/>
      <c r="E2213" s="19"/>
      <c r="H2213" s="19"/>
      <c r="K2213" s="19"/>
      <c r="N2213" s="19"/>
    </row>
    <row r="2214" spans="2:14" x14ac:dyDescent="0.25">
      <c r="B2214" s="19"/>
      <c r="E2214" s="19"/>
      <c r="H2214" s="19"/>
      <c r="K2214" s="19"/>
      <c r="N2214" s="19"/>
    </row>
    <row r="2215" spans="2:14" x14ac:dyDescent="0.25">
      <c r="B2215" s="19"/>
      <c r="E2215" s="19"/>
      <c r="H2215" s="19"/>
      <c r="K2215" s="19"/>
      <c r="N2215" s="19"/>
    </row>
    <row r="2216" spans="2:14" x14ac:dyDescent="0.25">
      <c r="B2216" s="19"/>
      <c r="E2216" s="19"/>
      <c r="H2216" s="19"/>
      <c r="K2216" s="19"/>
      <c r="N2216" s="19"/>
    </row>
    <row r="2217" spans="2:14" x14ac:dyDescent="0.25">
      <c r="B2217" s="19"/>
      <c r="E2217" s="19"/>
      <c r="H2217" s="19"/>
      <c r="K2217" s="19"/>
      <c r="N2217" s="19"/>
    </row>
    <row r="2218" spans="2:14" x14ac:dyDescent="0.25">
      <c r="B2218" s="19"/>
      <c r="E2218" s="19"/>
      <c r="H2218" s="19"/>
      <c r="K2218" s="19"/>
      <c r="N2218" s="19"/>
    </row>
    <row r="2219" spans="2:14" x14ac:dyDescent="0.25">
      <c r="B2219" s="19"/>
      <c r="E2219" s="19"/>
      <c r="H2219" s="19"/>
      <c r="K2219" s="19"/>
      <c r="N2219" s="19"/>
    </row>
    <row r="2220" spans="2:14" x14ac:dyDescent="0.25">
      <c r="B2220" s="19"/>
      <c r="E2220" s="19"/>
      <c r="H2220" s="19"/>
      <c r="K2220" s="19"/>
      <c r="N2220" s="19"/>
    </row>
    <row r="2221" spans="2:14" x14ac:dyDescent="0.25">
      <c r="B2221" s="19"/>
      <c r="E2221" s="19"/>
      <c r="H2221" s="19"/>
      <c r="K2221" s="19"/>
      <c r="N2221" s="19"/>
    </row>
    <row r="2222" spans="2:14" x14ac:dyDescent="0.25">
      <c r="B2222" s="19"/>
      <c r="E2222" s="19"/>
      <c r="H2222" s="19"/>
      <c r="K2222" s="19"/>
      <c r="N2222" s="19"/>
    </row>
    <row r="2223" spans="2:14" x14ac:dyDescent="0.25">
      <c r="B2223" s="19"/>
      <c r="E2223" s="19"/>
      <c r="H2223" s="19"/>
      <c r="K2223" s="19"/>
      <c r="N2223" s="19"/>
    </row>
    <row r="2224" spans="2:14" x14ac:dyDescent="0.25">
      <c r="B2224" s="19"/>
      <c r="E2224" s="19"/>
      <c r="H2224" s="19"/>
      <c r="K2224" s="19"/>
      <c r="N2224" s="19"/>
    </row>
    <row r="2225" spans="2:14" x14ac:dyDescent="0.25">
      <c r="B2225" s="19"/>
      <c r="E2225" s="19"/>
      <c r="H2225" s="19"/>
      <c r="K2225" s="19"/>
      <c r="N2225" s="19"/>
    </row>
    <row r="2226" spans="2:14" x14ac:dyDescent="0.25">
      <c r="B2226" s="19"/>
      <c r="E2226" s="19"/>
      <c r="H2226" s="19"/>
      <c r="K2226" s="19"/>
      <c r="N2226" s="19"/>
    </row>
    <row r="2227" spans="2:14" x14ac:dyDescent="0.25">
      <c r="B2227" s="19"/>
      <c r="E2227" s="19"/>
      <c r="H2227" s="19"/>
      <c r="K2227" s="19"/>
      <c r="N2227" s="19"/>
    </row>
    <row r="2228" spans="2:14" x14ac:dyDescent="0.25">
      <c r="B2228" s="19"/>
      <c r="E2228" s="19"/>
      <c r="H2228" s="19"/>
      <c r="K2228" s="19"/>
      <c r="N2228" s="19"/>
    </row>
    <row r="2229" spans="2:14" x14ac:dyDescent="0.25">
      <c r="B2229" s="19"/>
      <c r="E2229" s="19"/>
      <c r="H2229" s="19"/>
      <c r="K2229" s="19"/>
      <c r="N2229" s="19"/>
    </row>
    <row r="2230" spans="2:14" x14ac:dyDescent="0.25">
      <c r="B2230" s="19"/>
      <c r="E2230" s="19"/>
      <c r="H2230" s="19"/>
      <c r="K2230" s="19"/>
      <c r="N2230" s="19"/>
    </row>
    <row r="2231" spans="2:14" x14ac:dyDescent="0.25">
      <c r="B2231" s="19"/>
      <c r="E2231" s="19"/>
      <c r="H2231" s="19"/>
      <c r="K2231" s="19"/>
      <c r="N2231" s="19"/>
    </row>
    <row r="2232" spans="2:14" x14ac:dyDescent="0.25">
      <c r="B2232" s="19"/>
      <c r="E2232" s="19"/>
      <c r="H2232" s="19"/>
      <c r="K2232" s="19"/>
      <c r="N2232" s="19"/>
    </row>
    <row r="2233" spans="2:14" x14ac:dyDescent="0.25">
      <c r="B2233" s="19"/>
      <c r="E2233" s="19"/>
      <c r="H2233" s="19"/>
      <c r="K2233" s="19"/>
      <c r="N2233" s="19"/>
    </row>
    <row r="2234" spans="2:14" x14ac:dyDescent="0.25">
      <c r="B2234" s="19"/>
      <c r="E2234" s="19"/>
      <c r="H2234" s="19"/>
      <c r="K2234" s="19"/>
      <c r="N2234" s="19"/>
    </row>
    <row r="2235" spans="2:14" x14ac:dyDescent="0.25">
      <c r="B2235" s="19"/>
      <c r="E2235" s="19"/>
      <c r="H2235" s="19"/>
      <c r="K2235" s="19"/>
      <c r="N2235" s="19"/>
    </row>
    <row r="2236" spans="2:14" x14ac:dyDescent="0.25">
      <c r="B2236" s="19"/>
      <c r="E2236" s="19"/>
      <c r="H2236" s="19"/>
      <c r="K2236" s="19"/>
      <c r="N2236" s="19"/>
    </row>
    <row r="2237" spans="2:14" x14ac:dyDescent="0.25">
      <c r="B2237" s="19"/>
      <c r="E2237" s="19"/>
      <c r="H2237" s="19"/>
      <c r="K2237" s="19"/>
      <c r="N2237" s="19"/>
    </row>
    <row r="2238" spans="2:14" x14ac:dyDescent="0.25">
      <c r="B2238" s="19"/>
      <c r="E2238" s="19"/>
      <c r="H2238" s="19"/>
      <c r="K2238" s="19"/>
      <c r="N2238" s="19"/>
    </row>
    <row r="2239" spans="2:14" x14ac:dyDescent="0.25">
      <c r="B2239" s="19"/>
      <c r="E2239" s="19"/>
      <c r="H2239" s="19"/>
      <c r="K2239" s="19"/>
      <c r="N2239" s="19"/>
    </row>
    <row r="2240" spans="2:14" x14ac:dyDescent="0.25">
      <c r="B2240" s="19"/>
      <c r="E2240" s="19"/>
      <c r="H2240" s="19"/>
      <c r="K2240" s="19"/>
      <c r="N2240" s="19"/>
    </row>
    <row r="2241" spans="2:14" x14ac:dyDescent="0.25">
      <c r="B2241" s="19"/>
      <c r="E2241" s="19"/>
      <c r="H2241" s="19"/>
      <c r="K2241" s="19"/>
      <c r="N2241" s="19"/>
    </row>
    <row r="2242" spans="2:14" x14ac:dyDescent="0.25">
      <c r="B2242" s="19"/>
      <c r="E2242" s="19"/>
      <c r="H2242" s="19"/>
      <c r="K2242" s="19"/>
      <c r="N2242" s="19"/>
    </row>
    <row r="2243" spans="2:14" x14ac:dyDescent="0.25">
      <c r="B2243" s="19"/>
      <c r="E2243" s="19"/>
      <c r="H2243" s="19"/>
      <c r="K2243" s="19"/>
      <c r="N2243" s="19"/>
    </row>
    <row r="2244" spans="2:14" x14ac:dyDescent="0.25">
      <c r="B2244" s="19"/>
      <c r="E2244" s="19"/>
      <c r="H2244" s="19"/>
      <c r="K2244" s="19"/>
      <c r="N2244" s="19"/>
    </row>
    <row r="2245" spans="2:14" x14ac:dyDescent="0.25">
      <c r="B2245" s="19"/>
      <c r="E2245" s="19"/>
      <c r="H2245" s="19"/>
      <c r="K2245" s="19"/>
      <c r="N2245" s="19"/>
    </row>
    <row r="2246" spans="2:14" x14ac:dyDescent="0.25">
      <c r="B2246" s="19"/>
      <c r="E2246" s="19"/>
      <c r="H2246" s="19"/>
      <c r="K2246" s="19"/>
      <c r="N2246" s="19"/>
    </row>
    <row r="2247" spans="2:14" x14ac:dyDescent="0.25">
      <c r="B2247" s="19"/>
      <c r="E2247" s="19"/>
      <c r="H2247" s="19"/>
      <c r="K2247" s="19"/>
      <c r="N2247" s="19"/>
    </row>
    <row r="2248" spans="2:14" x14ac:dyDescent="0.25">
      <c r="B2248" s="19"/>
      <c r="E2248" s="19"/>
      <c r="H2248" s="19"/>
      <c r="K2248" s="19"/>
      <c r="N2248" s="19"/>
    </row>
    <row r="2249" spans="2:14" x14ac:dyDescent="0.25">
      <c r="B2249" s="19"/>
      <c r="E2249" s="19"/>
      <c r="H2249" s="19"/>
      <c r="K2249" s="19"/>
      <c r="N2249" s="19"/>
    </row>
    <row r="2250" spans="2:14" x14ac:dyDescent="0.25">
      <c r="B2250" s="19"/>
      <c r="E2250" s="19"/>
      <c r="H2250" s="19"/>
      <c r="K2250" s="19"/>
      <c r="N2250" s="19"/>
    </row>
    <row r="2251" spans="2:14" x14ac:dyDescent="0.25">
      <c r="B2251" s="19"/>
      <c r="E2251" s="19"/>
      <c r="H2251" s="19"/>
      <c r="K2251" s="19"/>
      <c r="N2251" s="19"/>
    </row>
    <row r="2252" spans="2:14" x14ac:dyDescent="0.25">
      <c r="B2252" s="19"/>
      <c r="E2252" s="19"/>
      <c r="H2252" s="19"/>
      <c r="K2252" s="19"/>
      <c r="N2252" s="19"/>
    </row>
    <row r="2253" spans="2:14" x14ac:dyDescent="0.25">
      <c r="B2253" s="19"/>
      <c r="E2253" s="19"/>
      <c r="H2253" s="19"/>
      <c r="K2253" s="19"/>
      <c r="N2253" s="19"/>
    </row>
    <row r="2254" spans="2:14" x14ac:dyDescent="0.25">
      <c r="B2254" s="19"/>
      <c r="E2254" s="19"/>
      <c r="H2254" s="19"/>
      <c r="K2254" s="19"/>
      <c r="N2254" s="19"/>
    </row>
    <row r="2255" spans="2:14" x14ac:dyDescent="0.25">
      <c r="B2255" s="19"/>
      <c r="E2255" s="19"/>
      <c r="H2255" s="19"/>
      <c r="K2255" s="19"/>
      <c r="N2255" s="19"/>
    </row>
    <row r="2256" spans="2:14" x14ac:dyDescent="0.25">
      <c r="B2256" s="19"/>
      <c r="E2256" s="19"/>
      <c r="H2256" s="19"/>
      <c r="K2256" s="19"/>
      <c r="N2256" s="19"/>
    </row>
    <row r="2257" spans="2:14" x14ac:dyDescent="0.25">
      <c r="B2257" s="19"/>
      <c r="E2257" s="19"/>
      <c r="H2257" s="19"/>
      <c r="K2257" s="19"/>
      <c r="N2257" s="19"/>
    </row>
    <row r="2258" spans="2:14" x14ac:dyDescent="0.25">
      <c r="B2258" s="19"/>
      <c r="E2258" s="19"/>
      <c r="H2258" s="19"/>
      <c r="K2258" s="19"/>
      <c r="N2258" s="19"/>
    </row>
    <row r="2259" spans="2:14" x14ac:dyDescent="0.25">
      <c r="B2259" s="19"/>
      <c r="E2259" s="19"/>
      <c r="H2259" s="19"/>
      <c r="K2259" s="19"/>
      <c r="N2259" s="19"/>
    </row>
    <row r="2260" spans="2:14" x14ac:dyDescent="0.25">
      <c r="B2260" s="19"/>
      <c r="E2260" s="19"/>
      <c r="H2260" s="19"/>
      <c r="K2260" s="19"/>
      <c r="N2260" s="19"/>
    </row>
    <row r="2261" spans="2:14" x14ac:dyDescent="0.25">
      <c r="B2261" s="19"/>
      <c r="E2261" s="19"/>
      <c r="H2261" s="19"/>
      <c r="K2261" s="19"/>
      <c r="N2261" s="19"/>
    </row>
    <row r="2262" spans="2:14" x14ac:dyDescent="0.25">
      <c r="B2262" s="19"/>
      <c r="E2262" s="19"/>
      <c r="H2262" s="19"/>
      <c r="K2262" s="19"/>
      <c r="N2262" s="19"/>
    </row>
    <row r="2263" spans="2:14" x14ac:dyDescent="0.25">
      <c r="B2263" s="19"/>
      <c r="E2263" s="19"/>
      <c r="H2263" s="19"/>
      <c r="K2263" s="19"/>
      <c r="N2263" s="19"/>
    </row>
    <row r="2264" spans="2:14" x14ac:dyDescent="0.25">
      <c r="B2264" s="19"/>
      <c r="E2264" s="19"/>
      <c r="H2264" s="19"/>
      <c r="K2264" s="19"/>
      <c r="N2264" s="19"/>
    </row>
    <row r="2265" spans="2:14" x14ac:dyDescent="0.25">
      <c r="B2265" s="19"/>
      <c r="E2265" s="19"/>
      <c r="H2265" s="19"/>
      <c r="K2265" s="19"/>
      <c r="N2265" s="19"/>
    </row>
    <row r="2266" spans="2:14" x14ac:dyDescent="0.25">
      <c r="B2266" s="19"/>
      <c r="E2266" s="19"/>
      <c r="H2266" s="19"/>
      <c r="K2266" s="19"/>
      <c r="N2266" s="19"/>
    </row>
    <row r="2267" spans="2:14" x14ac:dyDescent="0.25">
      <c r="B2267" s="19"/>
      <c r="E2267" s="19"/>
      <c r="H2267" s="19"/>
      <c r="K2267" s="19"/>
      <c r="N2267" s="19"/>
    </row>
    <row r="2268" spans="2:14" x14ac:dyDescent="0.25">
      <c r="B2268" s="19"/>
      <c r="E2268" s="19"/>
      <c r="H2268" s="19"/>
      <c r="K2268" s="19"/>
      <c r="N2268" s="19"/>
    </row>
    <row r="2269" spans="2:14" x14ac:dyDescent="0.25">
      <c r="B2269" s="19"/>
      <c r="E2269" s="19"/>
      <c r="H2269" s="19"/>
      <c r="K2269" s="19"/>
      <c r="N2269" s="19"/>
    </row>
    <row r="2270" spans="2:14" x14ac:dyDescent="0.25">
      <c r="B2270" s="19"/>
      <c r="E2270" s="19"/>
      <c r="H2270" s="19"/>
      <c r="K2270" s="19"/>
      <c r="N2270" s="19"/>
    </row>
    <row r="2271" spans="2:14" x14ac:dyDescent="0.25">
      <c r="B2271" s="19"/>
      <c r="E2271" s="19"/>
      <c r="H2271" s="19"/>
      <c r="K2271" s="19"/>
      <c r="N2271" s="19"/>
    </row>
    <row r="2272" spans="2:14" x14ac:dyDescent="0.25">
      <c r="B2272" s="19"/>
      <c r="E2272" s="19"/>
      <c r="H2272" s="19"/>
      <c r="K2272" s="19"/>
      <c r="N2272" s="19"/>
    </row>
    <row r="2273" spans="2:14" x14ac:dyDescent="0.25">
      <c r="B2273" s="19"/>
      <c r="E2273" s="19"/>
      <c r="H2273" s="19"/>
      <c r="K2273" s="19"/>
      <c r="N2273" s="19"/>
    </row>
    <row r="2274" spans="2:14" x14ac:dyDescent="0.25">
      <c r="B2274" s="19"/>
      <c r="E2274" s="19"/>
      <c r="H2274" s="19"/>
      <c r="K2274" s="19"/>
      <c r="N2274" s="19"/>
    </row>
    <row r="2275" spans="2:14" x14ac:dyDescent="0.25">
      <c r="B2275" s="19"/>
      <c r="E2275" s="19"/>
      <c r="H2275" s="19"/>
      <c r="K2275" s="19"/>
      <c r="N2275" s="19"/>
    </row>
    <row r="2276" spans="2:14" x14ac:dyDescent="0.25">
      <c r="B2276" s="19"/>
      <c r="E2276" s="19"/>
      <c r="H2276" s="19"/>
      <c r="K2276" s="19"/>
      <c r="N2276" s="19"/>
    </row>
    <row r="2277" spans="2:14" x14ac:dyDescent="0.25">
      <c r="B2277" s="19"/>
      <c r="E2277" s="19"/>
      <c r="H2277" s="19"/>
      <c r="K2277" s="19"/>
      <c r="N2277" s="19"/>
    </row>
    <row r="2278" spans="2:14" x14ac:dyDescent="0.25">
      <c r="B2278" s="19"/>
      <c r="E2278" s="19"/>
      <c r="H2278" s="19"/>
      <c r="K2278" s="19"/>
      <c r="N2278" s="19"/>
    </row>
    <row r="2279" spans="2:14" x14ac:dyDescent="0.25">
      <c r="B2279" s="19"/>
      <c r="E2279" s="19"/>
      <c r="H2279" s="19"/>
      <c r="K2279" s="19"/>
      <c r="N2279" s="19"/>
    </row>
    <row r="2280" spans="2:14" x14ac:dyDescent="0.25">
      <c r="B2280" s="19"/>
      <c r="E2280" s="19"/>
      <c r="H2280" s="19"/>
      <c r="K2280" s="19"/>
      <c r="N2280" s="19"/>
    </row>
    <row r="2281" spans="2:14" x14ac:dyDescent="0.25">
      <c r="B2281" s="19"/>
      <c r="E2281" s="19"/>
      <c r="H2281" s="19"/>
      <c r="K2281" s="19"/>
      <c r="N2281" s="19"/>
    </row>
    <row r="2282" spans="2:14" x14ac:dyDescent="0.25">
      <c r="B2282" s="19"/>
      <c r="E2282" s="19"/>
      <c r="H2282" s="19"/>
      <c r="K2282" s="19"/>
      <c r="N2282" s="19"/>
    </row>
    <row r="2283" spans="2:14" x14ac:dyDescent="0.25">
      <c r="B2283" s="19"/>
      <c r="E2283" s="19"/>
      <c r="H2283" s="19"/>
      <c r="K2283" s="19"/>
      <c r="N2283" s="19"/>
    </row>
    <row r="2284" spans="2:14" x14ac:dyDescent="0.25">
      <c r="B2284" s="19"/>
      <c r="E2284" s="19"/>
      <c r="H2284" s="19"/>
      <c r="K2284" s="19"/>
      <c r="N2284" s="19"/>
    </row>
    <row r="2285" spans="2:14" x14ac:dyDescent="0.25">
      <c r="B2285" s="19"/>
      <c r="E2285" s="19"/>
      <c r="H2285" s="19"/>
      <c r="K2285" s="19"/>
      <c r="N2285" s="19"/>
    </row>
    <row r="2286" spans="2:14" x14ac:dyDescent="0.25">
      <c r="B2286" s="19"/>
      <c r="E2286" s="19"/>
      <c r="H2286" s="19"/>
      <c r="K2286" s="19"/>
      <c r="N2286" s="19"/>
    </row>
    <row r="2287" spans="2:14" x14ac:dyDescent="0.25">
      <c r="B2287" s="19"/>
      <c r="E2287" s="19"/>
      <c r="H2287" s="19"/>
      <c r="K2287" s="19"/>
      <c r="N2287" s="19"/>
    </row>
    <row r="2288" spans="2:14" x14ac:dyDescent="0.25">
      <c r="B2288" s="19"/>
      <c r="E2288" s="19"/>
      <c r="H2288" s="19"/>
      <c r="K2288" s="19"/>
      <c r="N2288" s="19"/>
    </row>
    <row r="2289" spans="2:14" x14ac:dyDescent="0.25">
      <c r="B2289" s="19"/>
      <c r="E2289" s="19"/>
      <c r="H2289" s="19"/>
      <c r="K2289" s="19"/>
      <c r="N2289" s="19"/>
    </row>
    <row r="2290" spans="2:14" x14ac:dyDescent="0.25">
      <c r="B2290" s="19"/>
      <c r="E2290" s="19"/>
      <c r="H2290" s="19"/>
      <c r="K2290" s="19"/>
      <c r="N2290" s="19"/>
    </row>
    <row r="2291" spans="2:14" x14ac:dyDescent="0.25">
      <c r="B2291" s="19"/>
      <c r="E2291" s="19"/>
      <c r="H2291" s="19"/>
      <c r="K2291" s="19"/>
      <c r="N2291" s="19"/>
    </row>
    <row r="2292" spans="2:14" x14ac:dyDescent="0.25">
      <c r="B2292" s="19"/>
      <c r="E2292" s="19"/>
      <c r="H2292" s="19"/>
      <c r="K2292" s="19"/>
      <c r="N2292" s="19"/>
    </row>
    <row r="2293" spans="2:14" x14ac:dyDescent="0.25">
      <c r="B2293" s="19"/>
      <c r="E2293" s="19"/>
      <c r="H2293" s="19"/>
      <c r="K2293" s="19"/>
      <c r="N2293" s="19"/>
    </row>
    <row r="2294" spans="2:14" x14ac:dyDescent="0.25">
      <c r="B2294" s="19"/>
      <c r="E2294" s="19"/>
      <c r="H2294" s="19"/>
      <c r="K2294" s="19"/>
      <c r="N2294" s="19"/>
    </row>
    <row r="2295" spans="2:14" x14ac:dyDescent="0.25">
      <c r="B2295" s="19"/>
      <c r="E2295" s="19"/>
      <c r="H2295" s="19"/>
      <c r="K2295" s="19"/>
      <c r="N2295" s="19"/>
    </row>
    <row r="2296" spans="2:14" x14ac:dyDescent="0.25">
      <c r="B2296" s="19"/>
      <c r="E2296" s="19"/>
      <c r="H2296" s="19"/>
      <c r="K2296" s="19"/>
      <c r="N2296" s="19"/>
    </row>
    <row r="2297" spans="2:14" x14ac:dyDescent="0.25">
      <c r="B2297" s="19"/>
      <c r="E2297" s="19"/>
      <c r="H2297" s="19"/>
      <c r="K2297" s="19"/>
      <c r="N2297" s="19"/>
    </row>
    <row r="2298" spans="2:14" x14ac:dyDescent="0.25">
      <c r="B2298" s="19"/>
      <c r="E2298" s="19"/>
      <c r="H2298" s="19"/>
      <c r="K2298" s="19"/>
      <c r="N2298" s="19"/>
    </row>
    <row r="2299" spans="2:14" x14ac:dyDescent="0.25">
      <c r="B2299" s="19"/>
      <c r="E2299" s="19"/>
      <c r="H2299" s="19"/>
      <c r="K2299" s="19"/>
      <c r="N2299" s="19"/>
    </row>
    <row r="2300" spans="2:14" x14ac:dyDescent="0.25">
      <c r="B2300" s="19"/>
      <c r="E2300" s="19"/>
      <c r="H2300" s="19"/>
      <c r="K2300" s="19"/>
      <c r="N2300" s="19"/>
    </row>
    <row r="2301" spans="2:14" x14ac:dyDescent="0.25">
      <c r="B2301" s="19"/>
      <c r="E2301" s="19"/>
      <c r="H2301" s="19"/>
      <c r="K2301" s="19"/>
      <c r="N2301" s="19"/>
    </row>
    <row r="2302" spans="2:14" x14ac:dyDescent="0.25">
      <c r="B2302" s="19"/>
      <c r="E2302" s="19"/>
      <c r="H2302" s="19"/>
      <c r="K2302" s="19"/>
      <c r="N2302" s="19"/>
    </row>
    <row r="2303" spans="2:14" x14ac:dyDescent="0.25">
      <c r="B2303" s="19"/>
      <c r="E2303" s="19"/>
      <c r="H2303" s="19"/>
      <c r="K2303" s="19"/>
      <c r="N2303" s="19"/>
    </row>
    <row r="2304" spans="2:14" x14ac:dyDescent="0.25">
      <c r="B2304" s="19"/>
      <c r="E2304" s="19"/>
      <c r="H2304" s="19"/>
      <c r="K2304" s="19"/>
      <c r="N2304" s="19"/>
    </row>
    <row r="2305" spans="2:14" x14ac:dyDescent="0.25">
      <c r="B2305" s="19"/>
      <c r="E2305" s="19"/>
      <c r="H2305" s="19"/>
      <c r="K2305" s="19"/>
      <c r="N2305" s="19"/>
    </row>
    <row r="2306" spans="2:14" x14ac:dyDescent="0.25">
      <c r="B2306" s="19"/>
      <c r="E2306" s="19"/>
      <c r="H2306" s="19"/>
      <c r="K2306" s="19"/>
      <c r="N2306" s="19"/>
    </row>
    <row r="2307" spans="2:14" x14ac:dyDescent="0.25">
      <c r="B2307" s="19"/>
      <c r="E2307" s="19"/>
      <c r="H2307" s="19"/>
      <c r="K2307" s="19"/>
      <c r="N2307" s="19"/>
    </row>
    <row r="2308" spans="2:14" x14ac:dyDescent="0.25">
      <c r="B2308" s="19"/>
      <c r="E2308" s="19"/>
      <c r="H2308" s="19"/>
      <c r="K2308" s="19"/>
      <c r="N2308" s="19"/>
    </row>
    <row r="2309" spans="2:14" x14ac:dyDescent="0.25">
      <c r="B2309" s="19"/>
      <c r="E2309" s="19"/>
      <c r="H2309" s="19"/>
      <c r="K2309" s="19"/>
      <c r="N2309" s="19"/>
    </row>
    <row r="2310" spans="2:14" x14ac:dyDescent="0.25">
      <c r="B2310" s="19"/>
      <c r="E2310" s="19"/>
      <c r="H2310" s="19"/>
      <c r="K2310" s="19"/>
      <c r="N2310" s="19"/>
    </row>
    <row r="2311" spans="2:14" x14ac:dyDescent="0.25">
      <c r="B2311" s="19"/>
      <c r="E2311" s="19"/>
      <c r="H2311" s="19"/>
      <c r="K2311" s="19"/>
      <c r="N2311" s="19"/>
    </row>
    <row r="2312" spans="2:14" x14ac:dyDescent="0.25">
      <c r="B2312" s="19"/>
      <c r="E2312" s="19"/>
      <c r="H2312" s="19"/>
      <c r="K2312" s="19"/>
      <c r="N2312" s="19"/>
    </row>
    <row r="2313" spans="2:14" x14ac:dyDescent="0.25">
      <c r="B2313" s="19"/>
      <c r="E2313" s="19"/>
      <c r="H2313" s="19"/>
      <c r="K2313" s="19"/>
      <c r="N2313" s="19"/>
    </row>
    <row r="2314" spans="2:14" x14ac:dyDescent="0.25">
      <c r="B2314" s="19"/>
      <c r="E2314" s="19"/>
      <c r="H2314" s="19"/>
      <c r="K2314" s="19"/>
      <c r="N2314" s="19"/>
    </row>
    <row r="2315" spans="2:14" x14ac:dyDescent="0.25">
      <c r="B2315" s="19"/>
      <c r="E2315" s="19"/>
      <c r="H2315" s="19"/>
      <c r="K2315" s="19"/>
      <c r="N2315" s="19"/>
    </row>
    <row r="2316" spans="2:14" x14ac:dyDescent="0.25">
      <c r="B2316" s="19"/>
      <c r="E2316" s="19"/>
      <c r="H2316" s="19"/>
      <c r="K2316" s="19"/>
      <c r="N2316" s="19"/>
    </row>
    <row r="2317" spans="2:14" x14ac:dyDescent="0.25">
      <c r="B2317" s="19"/>
      <c r="E2317" s="19"/>
      <c r="H2317" s="19"/>
      <c r="K2317" s="19"/>
      <c r="N2317" s="19"/>
    </row>
    <row r="2318" spans="2:14" x14ac:dyDescent="0.25">
      <c r="B2318" s="19"/>
      <c r="E2318" s="19"/>
      <c r="H2318" s="19"/>
      <c r="K2318" s="19"/>
      <c r="N2318" s="19"/>
    </row>
    <row r="2319" spans="2:14" x14ac:dyDescent="0.25">
      <c r="B2319" s="19"/>
      <c r="E2319" s="19"/>
      <c r="H2319" s="19"/>
      <c r="K2319" s="19"/>
      <c r="N2319" s="19"/>
    </row>
    <row r="2320" spans="2:14" x14ac:dyDescent="0.25">
      <c r="B2320" s="19"/>
      <c r="E2320" s="19"/>
      <c r="H2320" s="19"/>
      <c r="K2320" s="19"/>
      <c r="N2320" s="19"/>
    </row>
    <row r="2321" spans="2:14" x14ac:dyDescent="0.25">
      <c r="B2321" s="19"/>
      <c r="E2321" s="19"/>
      <c r="H2321" s="19"/>
      <c r="K2321" s="19"/>
      <c r="N2321" s="19"/>
    </row>
    <row r="2322" spans="2:14" x14ac:dyDescent="0.25">
      <c r="B2322" s="19"/>
      <c r="E2322" s="19"/>
      <c r="H2322" s="19"/>
      <c r="K2322" s="19"/>
      <c r="N2322" s="19"/>
    </row>
    <row r="2323" spans="2:14" x14ac:dyDescent="0.25">
      <c r="B2323" s="19"/>
      <c r="E2323" s="19"/>
      <c r="H2323" s="19"/>
      <c r="K2323" s="19"/>
      <c r="N2323" s="19"/>
    </row>
    <row r="2324" spans="2:14" x14ac:dyDescent="0.25">
      <c r="B2324" s="19"/>
      <c r="E2324" s="19"/>
      <c r="H2324" s="19"/>
      <c r="K2324" s="19"/>
      <c r="N2324" s="19"/>
    </row>
    <row r="2325" spans="2:14" x14ac:dyDescent="0.25">
      <c r="B2325" s="19"/>
      <c r="E2325" s="19"/>
      <c r="H2325" s="19"/>
      <c r="K2325" s="19"/>
      <c r="N2325" s="19"/>
    </row>
    <row r="2326" spans="2:14" x14ac:dyDescent="0.25">
      <c r="B2326" s="19"/>
      <c r="E2326" s="19"/>
      <c r="H2326" s="19"/>
      <c r="K2326" s="19"/>
      <c r="N2326" s="19"/>
    </row>
    <row r="2327" spans="2:14" x14ac:dyDescent="0.25">
      <c r="B2327" s="19"/>
      <c r="E2327" s="19"/>
      <c r="H2327" s="19"/>
      <c r="K2327" s="19"/>
      <c r="N2327" s="19"/>
    </row>
    <row r="2328" spans="2:14" x14ac:dyDescent="0.25">
      <c r="B2328" s="19"/>
      <c r="E2328" s="19"/>
      <c r="H2328" s="19"/>
      <c r="K2328" s="19"/>
      <c r="N2328" s="19"/>
    </row>
    <row r="2329" spans="2:14" x14ac:dyDescent="0.25">
      <c r="B2329" s="19"/>
      <c r="E2329" s="19"/>
      <c r="H2329" s="19"/>
      <c r="K2329" s="19"/>
      <c r="N2329" s="19"/>
    </row>
    <row r="2330" spans="2:14" x14ac:dyDescent="0.25">
      <c r="B2330" s="19"/>
      <c r="E2330" s="19"/>
      <c r="H2330" s="19"/>
      <c r="K2330" s="19"/>
      <c r="N2330" s="19"/>
    </row>
    <row r="2331" spans="2:14" x14ac:dyDescent="0.25">
      <c r="B2331" s="19"/>
      <c r="E2331" s="19"/>
      <c r="H2331" s="19"/>
      <c r="K2331" s="19"/>
      <c r="N2331" s="19"/>
    </row>
    <row r="2332" spans="2:14" x14ac:dyDescent="0.25">
      <c r="B2332" s="19"/>
      <c r="E2332" s="19"/>
      <c r="H2332" s="19"/>
      <c r="K2332" s="19"/>
      <c r="N2332" s="19"/>
    </row>
    <row r="2333" spans="2:14" x14ac:dyDescent="0.25">
      <c r="B2333" s="19"/>
      <c r="E2333" s="19"/>
      <c r="H2333" s="19"/>
      <c r="K2333" s="19"/>
      <c r="N2333" s="19"/>
    </row>
    <row r="2334" spans="2:14" x14ac:dyDescent="0.25">
      <c r="B2334" s="19"/>
      <c r="E2334" s="19"/>
      <c r="H2334" s="19"/>
      <c r="K2334" s="19"/>
      <c r="N2334" s="19"/>
    </row>
    <row r="2335" spans="2:14" x14ac:dyDescent="0.25">
      <c r="B2335" s="19"/>
      <c r="E2335" s="19"/>
      <c r="H2335" s="19"/>
      <c r="K2335" s="19"/>
      <c r="N2335" s="19"/>
    </row>
    <row r="2336" spans="2:14" x14ac:dyDescent="0.25">
      <c r="B2336" s="19"/>
      <c r="E2336" s="19"/>
      <c r="H2336" s="19"/>
      <c r="K2336" s="19"/>
      <c r="N2336" s="19"/>
    </row>
    <row r="2337" spans="2:14" x14ac:dyDescent="0.25">
      <c r="B2337" s="19"/>
      <c r="E2337" s="19"/>
      <c r="H2337" s="19"/>
      <c r="K2337" s="19"/>
      <c r="N2337" s="19"/>
    </row>
    <row r="2338" spans="2:14" x14ac:dyDescent="0.25">
      <c r="B2338" s="19"/>
      <c r="E2338" s="19"/>
      <c r="H2338" s="19"/>
      <c r="K2338" s="19"/>
      <c r="N2338" s="19"/>
    </row>
    <row r="2339" spans="2:14" x14ac:dyDescent="0.25">
      <c r="B2339" s="19"/>
      <c r="E2339" s="19"/>
      <c r="H2339" s="19"/>
      <c r="K2339" s="19"/>
      <c r="N2339" s="19"/>
    </row>
    <row r="2340" spans="2:14" x14ac:dyDescent="0.25">
      <c r="B2340" s="19"/>
      <c r="E2340" s="19"/>
      <c r="H2340" s="19"/>
      <c r="K2340" s="19"/>
      <c r="N2340" s="19"/>
    </row>
    <row r="2341" spans="2:14" x14ac:dyDescent="0.25">
      <c r="B2341" s="19"/>
      <c r="E2341" s="19"/>
      <c r="H2341" s="19"/>
      <c r="K2341" s="19"/>
      <c r="N2341" s="19"/>
    </row>
    <row r="2342" spans="2:14" x14ac:dyDescent="0.25">
      <c r="B2342" s="19"/>
      <c r="E2342" s="19"/>
      <c r="H2342" s="19"/>
      <c r="K2342" s="19"/>
      <c r="N2342" s="19"/>
    </row>
    <row r="2343" spans="2:14" x14ac:dyDescent="0.25">
      <c r="B2343" s="19"/>
      <c r="E2343" s="19"/>
      <c r="H2343" s="19"/>
      <c r="K2343" s="19"/>
      <c r="N2343" s="19"/>
    </row>
    <row r="2344" spans="2:14" x14ac:dyDescent="0.25">
      <c r="B2344" s="19"/>
      <c r="E2344" s="19"/>
      <c r="H2344" s="19"/>
      <c r="K2344" s="19"/>
      <c r="N2344" s="19"/>
    </row>
    <row r="2345" spans="2:14" x14ac:dyDescent="0.25">
      <c r="B2345" s="19"/>
      <c r="E2345" s="19"/>
      <c r="H2345" s="19"/>
      <c r="K2345" s="19"/>
      <c r="N2345" s="19"/>
    </row>
    <row r="2346" spans="2:14" x14ac:dyDescent="0.25">
      <c r="B2346" s="19"/>
      <c r="E2346" s="19"/>
      <c r="H2346" s="19"/>
      <c r="K2346" s="19"/>
      <c r="N2346" s="19"/>
    </row>
    <row r="2347" spans="2:14" x14ac:dyDescent="0.25">
      <c r="B2347" s="19"/>
      <c r="E2347" s="19"/>
      <c r="H2347" s="19"/>
      <c r="K2347" s="19"/>
      <c r="N2347" s="19"/>
    </row>
    <row r="2348" spans="2:14" x14ac:dyDescent="0.25">
      <c r="B2348" s="19"/>
      <c r="E2348" s="19"/>
      <c r="H2348" s="19"/>
      <c r="K2348" s="19"/>
      <c r="N2348" s="19"/>
    </row>
    <row r="2349" spans="2:14" x14ac:dyDescent="0.25">
      <c r="B2349" s="19"/>
      <c r="E2349" s="19"/>
      <c r="H2349" s="19"/>
      <c r="K2349" s="19"/>
      <c r="N2349" s="19"/>
    </row>
    <row r="2350" spans="2:14" x14ac:dyDescent="0.25">
      <c r="B2350" s="19"/>
      <c r="E2350" s="19"/>
      <c r="H2350" s="19"/>
      <c r="K2350" s="19"/>
      <c r="N2350" s="19"/>
    </row>
    <row r="2351" spans="2:14" x14ac:dyDescent="0.25">
      <c r="B2351" s="19"/>
      <c r="E2351" s="19"/>
      <c r="H2351" s="19"/>
      <c r="K2351" s="19"/>
      <c r="N2351" s="19"/>
    </row>
    <row r="2352" spans="2:14" x14ac:dyDescent="0.25">
      <c r="B2352" s="19"/>
      <c r="E2352" s="19"/>
      <c r="H2352" s="19"/>
      <c r="K2352" s="19"/>
      <c r="N2352" s="19"/>
    </row>
    <row r="2353" spans="2:14" x14ac:dyDescent="0.25">
      <c r="B2353" s="19"/>
      <c r="E2353" s="19"/>
      <c r="H2353" s="19"/>
      <c r="K2353" s="19"/>
      <c r="N2353" s="19"/>
    </row>
    <row r="2354" spans="2:14" x14ac:dyDescent="0.25">
      <c r="B2354" s="19"/>
      <c r="E2354" s="19"/>
      <c r="H2354" s="19"/>
      <c r="K2354" s="19"/>
      <c r="N2354" s="19"/>
    </row>
    <row r="2355" spans="2:14" x14ac:dyDescent="0.25">
      <c r="B2355" s="19"/>
      <c r="E2355" s="19"/>
      <c r="H2355" s="19"/>
      <c r="K2355" s="19"/>
      <c r="N2355" s="19"/>
    </row>
    <row r="2356" spans="2:14" x14ac:dyDescent="0.25">
      <c r="B2356" s="19"/>
      <c r="E2356" s="19"/>
      <c r="H2356" s="19"/>
      <c r="K2356" s="19"/>
      <c r="N2356" s="19"/>
    </row>
    <row r="2357" spans="2:14" x14ac:dyDescent="0.25">
      <c r="B2357" s="19"/>
      <c r="E2357" s="19"/>
      <c r="H2357" s="19"/>
      <c r="K2357" s="19"/>
      <c r="N2357" s="19"/>
    </row>
    <row r="2358" spans="2:14" x14ac:dyDescent="0.25">
      <c r="B2358" s="19"/>
      <c r="E2358" s="19"/>
      <c r="H2358" s="19"/>
      <c r="K2358" s="19"/>
      <c r="N2358" s="19"/>
    </row>
    <row r="2359" spans="2:14" x14ac:dyDescent="0.25">
      <c r="B2359" s="19"/>
      <c r="E2359" s="19"/>
      <c r="H2359" s="19"/>
      <c r="K2359" s="19"/>
      <c r="N2359" s="19"/>
    </row>
    <row r="2360" spans="2:14" x14ac:dyDescent="0.25">
      <c r="B2360" s="19"/>
      <c r="E2360" s="19"/>
      <c r="H2360" s="19"/>
      <c r="K2360" s="19"/>
      <c r="N2360" s="19"/>
    </row>
    <row r="2361" spans="2:14" x14ac:dyDescent="0.25">
      <c r="B2361" s="19"/>
      <c r="E2361" s="19"/>
      <c r="H2361" s="19"/>
      <c r="K2361" s="19"/>
      <c r="N2361" s="19"/>
    </row>
    <row r="2362" spans="2:14" x14ac:dyDescent="0.25">
      <c r="B2362" s="19"/>
      <c r="E2362" s="19"/>
      <c r="H2362" s="19"/>
      <c r="K2362" s="19"/>
      <c r="N2362" s="19"/>
    </row>
    <row r="2363" spans="2:14" x14ac:dyDescent="0.25">
      <c r="B2363" s="19"/>
      <c r="E2363" s="19"/>
      <c r="H2363" s="19"/>
      <c r="K2363" s="19"/>
      <c r="N2363" s="19"/>
    </row>
    <row r="2364" spans="2:14" x14ac:dyDescent="0.25">
      <c r="B2364" s="19"/>
      <c r="E2364" s="19"/>
      <c r="H2364" s="19"/>
      <c r="K2364" s="19"/>
      <c r="N2364" s="19"/>
    </row>
    <row r="2365" spans="2:14" x14ac:dyDescent="0.25">
      <c r="B2365" s="19"/>
      <c r="E2365" s="19"/>
      <c r="H2365" s="19"/>
      <c r="K2365" s="19"/>
      <c r="N2365" s="19"/>
    </row>
    <row r="2366" spans="2:14" x14ac:dyDescent="0.25">
      <c r="B2366" s="19"/>
      <c r="E2366" s="19"/>
      <c r="H2366" s="19"/>
      <c r="K2366" s="19"/>
      <c r="N2366" s="19"/>
    </row>
    <row r="2367" spans="2:14" x14ac:dyDescent="0.25">
      <c r="B2367" s="19"/>
      <c r="E2367" s="19"/>
      <c r="H2367" s="19"/>
      <c r="K2367" s="19"/>
      <c r="N2367" s="19"/>
    </row>
    <row r="2368" spans="2:14" x14ac:dyDescent="0.25">
      <c r="B2368" s="19"/>
      <c r="E2368" s="19"/>
      <c r="H2368" s="19"/>
      <c r="K2368" s="19"/>
      <c r="N2368" s="19"/>
    </row>
    <row r="2369" spans="2:14" x14ac:dyDescent="0.25">
      <c r="B2369" s="19"/>
      <c r="E2369" s="19"/>
      <c r="H2369" s="19"/>
      <c r="K2369" s="19"/>
      <c r="N2369" s="19"/>
    </row>
    <row r="2370" spans="2:14" x14ac:dyDescent="0.25">
      <c r="B2370" s="19"/>
      <c r="E2370" s="19"/>
      <c r="H2370" s="19"/>
      <c r="K2370" s="19"/>
      <c r="N2370" s="19"/>
    </row>
    <row r="2371" spans="2:14" x14ac:dyDescent="0.25">
      <c r="B2371" s="19"/>
      <c r="E2371" s="19"/>
      <c r="H2371" s="19"/>
      <c r="K2371" s="19"/>
      <c r="N2371" s="19"/>
    </row>
    <row r="2372" spans="2:14" x14ac:dyDescent="0.25">
      <c r="B2372" s="19"/>
      <c r="E2372" s="19"/>
      <c r="H2372" s="19"/>
      <c r="K2372" s="19"/>
      <c r="N2372" s="19"/>
    </row>
    <row r="2373" spans="2:14" x14ac:dyDescent="0.25">
      <c r="B2373" s="19"/>
      <c r="E2373" s="19"/>
      <c r="H2373" s="19"/>
      <c r="K2373" s="19"/>
      <c r="N2373" s="19"/>
    </row>
    <row r="2374" spans="2:14" x14ac:dyDescent="0.25">
      <c r="B2374" s="19"/>
      <c r="E2374" s="19"/>
      <c r="H2374" s="19"/>
      <c r="K2374" s="19"/>
      <c r="N2374" s="19"/>
    </row>
    <row r="2375" spans="2:14" x14ac:dyDescent="0.25">
      <c r="B2375" s="19"/>
      <c r="E2375" s="19"/>
      <c r="H2375" s="19"/>
      <c r="K2375" s="19"/>
      <c r="N2375" s="19"/>
    </row>
    <row r="2376" spans="2:14" x14ac:dyDescent="0.25">
      <c r="B2376" s="19"/>
      <c r="E2376" s="19"/>
      <c r="H2376" s="19"/>
      <c r="K2376" s="19"/>
      <c r="N2376" s="19"/>
    </row>
    <row r="2377" spans="2:14" x14ac:dyDescent="0.25">
      <c r="B2377" s="19"/>
      <c r="E2377" s="19"/>
      <c r="H2377" s="19"/>
      <c r="K2377" s="19"/>
      <c r="N2377" s="19"/>
    </row>
    <row r="2378" spans="2:14" x14ac:dyDescent="0.25">
      <c r="B2378" s="19"/>
      <c r="E2378" s="19"/>
      <c r="H2378" s="19"/>
      <c r="K2378" s="19"/>
      <c r="N2378" s="19"/>
    </row>
    <row r="2379" spans="2:14" x14ac:dyDescent="0.25">
      <c r="B2379" s="19"/>
      <c r="E2379" s="19"/>
      <c r="H2379" s="19"/>
      <c r="K2379" s="19"/>
      <c r="N2379" s="19"/>
    </row>
    <row r="2380" spans="2:14" x14ac:dyDescent="0.25">
      <c r="B2380" s="19"/>
      <c r="E2380" s="19"/>
      <c r="H2380" s="19"/>
      <c r="K2380" s="19"/>
      <c r="N2380" s="19"/>
    </row>
    <row r="2381" spans="2:14" x14ac:dyDescent="0.25">
      <c r="B2381" s="19"/>
      <c r="E2381" s="19"/>
      <c r="H2381" s="19"/>
      <c r="K2381" s="19"/>
      <c r="N2381" s="19"/>
    </row>
    <row r="2382" spans="2:14" x14ac:dyDescent="0.25">
      <c r="B2382" s="19"/>
      <c r="E2382" s="19"/>
      <c r="H2382" s="19"/>
      <c r="K2382" s="19"/>
      <c r="N2382" s="19"/>
    </row>
    <row r="2383" spans="2:14" x14ac:dyDescent="0.25">
      <c r="B2383" s="19"/>
      <c r="E2383" s="19"/>
      <c r="H2383" s="19"/>
      <c r="K2383" s="19"/>
      <c r="N2383" s="19"/>
    </row>
    <row r="2384" spans="2:14" x14ac:dyDescent="0.25">
      <c r="B2384" s="19"/>
      <c r="E2384" s="19"/>
      <c r="H2384" s="19"/>
      <c r="K2384" s="19"/>
      <c r="N2384" s="19"/>
    </row>
    <row r="2385" spans="2:14" x14ac:dyDescent="0.25">
      <c r="B2385" s="19"/>
      <c r="E2385" s="19"/>
      <c r="H2385" s="19"/>
      <c r="K2385" s="19"/>
      <c r="N2385" s="19"/>
    </row>
    <row r="2386" spans="2:14" x14ac:dyDescent="0.25">
      <c r="B2386" s="19"/>
      <c r="E2386" s="19"/>
      <c r="H2386" s="19"/>
      <c r="K2386" s="19"/>
      <c r="N2386" s="19"/>
    </row>
    <row r="2387" spans="2:14" x14ac:dyDescent="0.25">
      <c r="B2387" s="19"/>
      <c r="E2387" s="19"/>
      <c r="H2387" s="19"/>
      <c r="K2387" s="19"/>
      <c r="N2387" s="19"/>
    </row>
    <row r="2388" spans="2:14" x14ac:dyDescent="0.25">
      <c r="B2388" s="19"/>
      <c r="E2388" s="19"/>
      <c r="H2388" s="19"/>
      <c r="K2388" s="19"/>
      <c r="N2388" s="19"/>
    </row>
    <row r="2389" spans="2:14" x14ac:dyDescent="0.25">
      <c r="B2389" s="19"/>
      <c r="E2389" s="19"/>
      <c r="H2389" s="19"/>
      <c r="K2389" s="19"/>
      <c r="N2389" s="19"/>
    </row>
    <row r="2390" spans="2:14" x14ac:dyDescent="0.25">
      <c r="B2390" s="19"/>
      <c r="E2390" s="19"/>
      <c r="H2390" s="19"/>
      <c r="K2390" s="19"/>
      <c r="N2390" s="19"/>
    </row>
    <row r="2391" spans="2:14" x14ac:dyDescent="0.25">
      <c r="B2391" s="19"/>
      <c r="E2391" s="19"/>
      <c r="H2391" s="19"/>
      <c r="K2391" s="19"/>
      <c r="N2391" s="19"/>
    </row>
    <row r="2392" spans="2:14" x14ac:dyDescent="0.25">
      <c r="B2392" s="19"/>
      <c r="E2392" s="19"/>
      <c r="H2392" s="19"/>
      <c r="K2392" s="19"/>
      <c r="N2392" s="19"/>
    </row>
    <row r="2393" spans="2:14" x14ac:dyDescent="0.25">
      <c r="B2393" s="19"/>
      <c r="E2393" s="19"/>
      <c r="H2393" s="19"/>
      <c r="K2393" s="19"/>
      <c r="N2393" s="19"/>
    </row>
    <row r="2394" spans="2:14" x14ac:dyDescent="0.25">
      <c r="B2394" s="19"/>
      <c r="E2394" s="19"/>
      <c r="H2394" s="19"/>
      <c r="K2394" s="19"/>
      <c r="N2394" s="19"/>
    </row>
    <row r="2395" spans="2:14" x14ac:dyDescent="0.25">
      <c r="B2395" s="19"/>
      <c r="E2395" s="19"/>
      <c r="H2395" s="19"/>
      <c r="K2395" s="19"/>
      <c r="N2395" s="19"/>
    </row>
    <row r="2396" spans="2:14" x14ac:dyDescent="0.25">
      <c r="B2396" s="19"/>
      <c r="E2396" s="19"/>
      <c r="H2396" s="19"/>
      <c r="K2396" s="19"/>
      <c r="N2396" s="19"/>
    </row>
    <row r="2397" spans="2:14" x14ac:dyDescent="0.25">
      <c r="B2397" s="19"/>
      <c r="E2397" s="19"/>
      <c r="H2397" s="19"/>
      <c r="K2397" s="19"/>
      <c r="N2397" s="19"/>
    </row>
    <row r="2398" spans="2:14" x14ac:dyDescent="0.25">
      <c r="B2398" s="19"/>
      <c r="E2398" s="19"/>
      <c r="H2398" s="19"/>
      <c r="K2398" s="19"/>
      <c r="N2398" s="19"/>
    </row>
    <row r="2399" spans="2:14" x14ac:dyDescent="0.25">
      <c r="B2399" s="19"/>
      <c r="E2399" s="19"/>
      <c r="H2399" s="19"/>
      <c r="K2399" s="19"/>
      <c r="N2399" s="19"/>
    </row>
    <row r="2400" spans="2:14" x14ac:dyDescent="0.25">
      <c r="B2400" s="19"/>
      <c r="E2400" s="19"/>
      <c r="H2400" s="19"/>
      <c r="K2400" s="19"/>
      <c r="N2400" s="19"/>
    </row>
    <row r="2401" spans="2:14" x14ac:dyDescent="0.25">
      <c r="B2401" s="19"/>
      <c r="E2401" s="19"/>
      <c r="H2401" s="19"/>
      <c r="K2401" s="19"/>
      <c r="N2401" s="19"/>
    </row>
    <row r="2402" spans="2:14" x14ac:dyDescent="0.25">
      <c r="B2402" s="19"/>
      <c r="E2402" s="19"/>
      <c r="H2402" s="19"/>
      <c r="K2402" s="19"/>
      <c r="N2402" s="19"/>
    </row>
    <row r="2403" spans="2:14" x14ac:dyDescent="0.25">
      <c r="B2403" s="19"/>
      <c r="E2403" s="19"/>
      <c r="H2403" s="19"/>
      <c r="K2403" s="19"/>
      <c r="N2403" s="19"/>
    </row>
    <row r="2404" spans="2:14" x14ac:dyDescent="0.25">
      <c r="B2404" s="19"/>
      <c r="E2404" s="19"/>
      <c r="H2404" s="19"/>
      <c r="K2404" s="19"/>
      <c r="N2404" s="19"/>
    </row>
    <row r="2405" spans="2:14" x14ac:dyDescent="0.25">
      <c r="B2405" s="19"/>
      <c r="E2405" s="19"/>
      <c r="H2405" s="19"/>
      <c r="K2405" s="19"/>
      <c r="N2405" s="19"/>
    </row>
    <row r="2406" spans="2:14" x14ac:dyDescent="0.25">
      <c r="B2406" s="19"/>
      <c r="E2406" s="19"/>
      <c r="H2406" s="19"/>
      <c r="K2406" s="19"/>
      <c r="N2406" s="19"/>
    </row>
    <row r="2407" spans="2:14" x14ac:dyDescent="0.25">
      <c r="B2407" s="19"/>
      <c r="E2407" s="19"/>
      <c r="H2407" s="19"/>
      <c r="K2407" s="19"/>
      <c r="N2407" s="19"/>
    </row>
    <row r="2408" spans="2:14" x14ac:dyDescent="0.25">
      <c r="B2408" s="19"/>
      <c r="E2408" s="19"/>
      <c r="H2408" s="19"/>
      <c r="K2408" s="19"/>
      <c r="N2408" s="19"/>
    </row>
    <row r="2409" spans="2:14" x14ac:dyDescent="0.25">
      <c r="B2409" s="19"/>
      <c r="E2409" s="19"/>
      <c r="H2409" s="19"/>
      <c r="K2409" s="19"/>
      <c r="N2409" s="19"/>
    </row>
    <row r="2410" spans="2:14" x14ac:dyDescent="0.25">
      <c r="B2410" s="19"/>
      <c r="E2410" s="19"/>
      <c r="H2410" s="19"/>
      <c r="K2410" s="19"/>
      <c r="N2410" s="19"/>
    </row>
    <row r="2411" spans="2:14" x14ac:dyDescent="0.25">
      <c r="B2411" s="19"/>
      <c r="E2411" s="19"/>
      <c r="H2411" s="19"/>
      <c r="K2411" s="19"/>
      <c r="N2411" s="19"/>
    </row>
    <row r="2412" spans="2:14" x14ac:dyDescent="0.25">
      <c r="B2412" s="19"/>
      <c r="E2412" s="19"/>
      <c r="H2412" s="19"/>
      <c r="K2412" s="19"/>
      <c r="N2412" s="19"/>
    </row>
    <row r="2413" spans="2:14" x14ac:dyDescent="0.25">
      <c r="B2413" s="19"/>
      <c r="E2413" s="19"/>
      <c r="H2413" s="19"/>
      <c r="K2413" s="19"/>
      <c r="N2413" s="19"/>
    </row>
    <row r="2414" spans="2:14" x14ac:dyDescent="0.25">
      <c r="B2414" s="19"/>
      <c r="E2414" s="19"/>
      <c r="H2414" s="19"/>
      <c r="K2414" s="19"/>
      <c r="N2414" s="19"/>
    </row>
    <row r="2415" spans="2:14" x14ac:dyDescent="0.25">
      <c r="B2415" s="19"/>
      <c r="E2415" s="19"/>
      <c r="H2415" s="19"/>
      <c r="K2415" s="19"/>
      <c r="N2415" s="19"/>
    </row>
    <row r="2416" spans="2:14" x14ac:dyDescent="0.25">
      <c r="B2416" s="19"/>
      <c r="E2416" s="19"/>
      <c r="H2416" s="19"/>
      <c r="K2416" s="19"/>
      <c r="N2416" s="19"/>
    </row>
    <row r="2417" spans="2:14" x14ac:dyDescent="0.25">
      <c r="B2417" s="19"/>
      <c r="E2417" s="19"/>
      <c r="H2417" s="19"/>
      <c r="K2417" s="19"/>
      <c r="N2417" s="19"/>
    </row>
    <row r="2418" spans="2:14" x14ac:dyDescent="0.25">
      <c r="B2418" s="19"/>
      <c r="E2418" s="19"/>
      <c r="H2418" s="19"/>
      <c r="K2418" s="19"/>
      <c r="N2418" s="19"/>
    </row>
    <row r="2419" spans="2:14" x14ac:dyDescent="0.25">
      <c r="B2419" s="19"/>
      <c r="E2419" s="19"/>
      <c r="H2419" s="19"/>
      <c r="K2419" s="19"/>
      <c r="N2419" s="19"/>
    </row>
    <row r="2420" spans="2:14" x14ac:dyDescent="0.25">
      <c r="B2420" s="19"/>
      <c r="E2420" s="19"/>
      <c r="H2420" s="19"/>
      <c r="K2420" s="19"/>
      <c r="N2420" s="19"/>
    </row>
    <row r="2421" spans="2:14" x14ac:dyDescent="0.25">
      <c r="B2421" s="19"/>
      <c r="E2421" s="19"/>
      <c r="H2421" s="19"/>
      <c r="K2421" s="19"/>
      <c r="N2421" s="19"/>
    </row>
    <row r="2422" spans="2:14" x14ac:dyDescent="0.25">
      <c r="B2422" s="19"/>
      <c r="E2422" s="19"/>
      <c r="H2422" s="19"/>
      <c r="K2422" s="19"/>
      <c r="N2422" s="19"/>
    </row>
    <row r="2423" spans="2:14" x14ac:dyDescent="0.25">
      <c r="B2423" s="19"/>
      <c r="E2423" s="19"/>
      <c r="H2423" s="19"/>
      <c r="K2423" s="19"/>
      <c r="N2423" s="19"/>
    </row>
    <row r="2424" spans="2:14" x14ac:dyDescent="0.25">
      <c r="B2424" s="19"/>
      <c r="E2424" s="19"/>
      <c r="H2424" s="19"/>
      <c r="K2424" s="19"/>
      <c r="N2424" s="19"/>
    </row>
    <row r="2425" spans="2:14" x14ac:dyDescent="0.25">
      <c r="B2425" s="19"/>
      <c r="E2425" s="19"/>
      <c r="H2425" s="19"/>
      <c r="K2425" s="19"/>
      <c r="N2425" s="19"/>
    </row>
    <row r="2426" spans="2:14" x14ac:dyDescent="0.25">
      <c r="B2426" s="19"/>
      <c r="E2426" s="19"/>
      <c r="H2426" s="19"/>
      <c r="K2426" s="19"/>
      <c r="N2426" s="19"/>
    </row>
    <row r="2427" spans="2:14" x14ac:dyDescent="0.25">
      <c r="B2427" s="19"/>
      <c r="E2427" s="19"/>
      <c r="H2427" s="19"/>
      <c r="K2427" s="19"/>
      <c r="N2427" s="19"/>
    </row>
    <row r="2428" spans="2:14" x14ac:dyDescent="0.25">
      <c r="B2428" s="19"/>
      <c r="E2428" s="19"/>
      <c r="H2428" s="19"/>
      <c r="K2428" s="19"/>
      <c r="N2428" s="19"/>
    </row>
    <row r="2429" spans="2:14" x14ac:dyDescent="0.25">
      <c r="B2429" s="19"/>
      <c r="E2429" s="19"/>
      <c r="H2429" s="19"/>
      <c r="K2429" s="19"/>
      <c r="N2429" s="19"/>
    </row>
    <row r="2430" spans="2:14" x14ac:dyDescent="0.25">
      <c r="B2430" s="19"/>
      <c r="E2430" s="19"/>
      <c r="H2430" s="19"/>
      <c r="K2430" s="19"/>
      <c r="N2430" s="19"/>
    </row>
    <row r="2431" spans="2:14" x14ac:dyDescent="0.25">
      <c r="B2431" s="19"/>
      <c r="E2431" s="19"/>
      <c r="H2431" s="19"/>
      <c r="K2431" s="19"/>
      <c r="N2431" s="19"/>
    </row>
    <row r="2432" spans="2:14" x14ac:dyDescent="0.25">
      <c r="B2432" s="19"/>
      <c r="E2432" s="19"/>
      <c r="H2432" s="19"/>
      <c r="K2432" s="19"/>
      <c r="N2432" s="19"/>
    </row>
    <row r="2433" spans="2:14" x14ac:dyDescent="0.25">
      <c r="B2433" s="19"/>
      <c r="E2433" s="19"/>
      <c r="H2433" s="19"/>
      <c r="K2433" s="19"/>
      <c r="N2433" s="19"/>
    </row>
    <row r="2434" spans="2:14" x14ac:dyDescent="0.25">
      <c r="B2434" s="19"/>
      <c r="E2434" s="19"/>
      <c r="H2434" s="19"/>
      <c r="K2434" s="19"/>
      <c r="N2434" s="19"/>
    </row>
    <row r="2435" spans="2:14" x14ac:dyDescent="0.25">
      <c r="B2435" s="19"/>
      <c r="E2435" s="19"/>
      <c r="H2435" s="19"/>
      <c r="K2435" s="19"/>
      <c r="N2435" s="19"/>
    </row>
    <row r="2436" spans="2:14" x14ac:dyDescent="0.25">
      <c r="B2436" s="19"/>
      <c r="E2436" s="19"/>
      <c r="H2436" s="19"/>
      <c r="K2436" s="19"/>
      <c r="N2436" s="19"/>
    </row>
    <row r="2437" spans="2:14" x14ac:dyDescent="0.25">
      <c r="B2437" s="19"/>
      <c r="E2437" s="19"/>
      <c r="H2437" s="19"/>
      <c r="K2437" s="19"/>
      <c r="N2437" s="19"/>
    </row>
    <row r="2438" spans="2:14" x14ac:dyDescent="0.25">
      <c r="B2438" s="19"/>
      <c r="E2438" s="19"/>
      <c r="H2438" s="19"/>
      <c r="K2438" s="19"/>
      <c r="N2438" s="19"/>
    </row>
    <row r="2439" spans="2:14" x14ac:dyDescent="0.25">
      <c r="B2439" s="19"/>
      <c r="E2439" s="19"/>
      <c r="H2439" s="19"/>
      <c r="K2439" s="19"/>
      <c r="N2439" s="19"/>
    </row>
    <row r="2440" spans="2:14" x14ac:dyDescent="0.25">
      <c r="B2440" s="19"/>
      <c r="E2440" s="19"/>
      <c r="H2440" s="19"/>
      <c r="K2440" s="19"/>
      <c r="N2440" s="19"/>
    </row>
    <row r="2441" spans="2:14" x14ac:dyDescent="0.25">
      <c r="B2441" s="19"/>
      <c r="E2441" s="19"/>
      <c r="H2441" s="19"/>
      <c r="K2441" s="19"/>
      <c r="N2441" s="19"/>
    </row>
    <row r="2442" spans="2:14" x14ac:dyDescent="0.25">
      <c r="B2442" s="19"/>
      <c r="E2442" s="19"/>
      <c r="H2442" s="19"/>
      <c r="K2442" s="19"/>
      <c r="N2442" s="19"/>
    </row>
    <row r="2443" spans="2:14" x14ac:dyDescent="0.25">
      <c r="B2443" s="19"/>
      <c r="E2443" s="19"/>
      <c r="H2443" s="19"/>
      <c r="K2443" s="19"/>
      <c r="N2443" s="19"/>
    </row>
    <row r="2444" spans="2:14" x14ac:dyDescent="0.25">
      <c r="B2444" s="19"/>
      <c r="E2444" s="19"/>
      <c r="H2444" s="19"/>
      <c r="K2444" s="19"/>
      <c r="N2444" s="19"/>
    </row>
    <row r="2445" spans="2:14" x14ac:dyDescent="0.25">
      <c r="B2445" s="19"/>
      <c r="E2445" s="19"/>
      <c r="H2445" s="19"/>
      <c r="K2445" s="19"/>
      <c r="N2445" s="19"/>
    </row>
    <row r="2446" spans="2:14" x14ac:dyDescent="0.25">
      <c r="B2446" s="19"/>
      <c r="E2446" s="19"/>
      <c r="H2446" s="19"/>
      <c r="K2446" s="19"/>
      <c r="N2446" s="19"/>
    </row>
    <row r="2447" spans="2:14" x14ac:dyDescent="0.25">
      <c r="B2447" s="19"/>
      <c r="E2447" s="19"/>
      <c r="H2447" s="19"/>
      <c r="K2447" s="19"/>
      <c r="N2447" s="19"/>
    </row>
    <row r="2448" spans="2:14" x14ac:dyDescent="0.25">
      <c r="B2448" s="19"/>
      <c r="E2448" s="19"/>
      <c r="H2448" s="19"/>
      <c r="K2448" s="19"/>
      <c r="N2448" s="19"/>
    </row>
    <row r="2449" spans="2:14" x14ac:dyDescent="0.25">
      <c r="B2449" s="19"/>
      <c r="E2449" s="19"/>
      <c r="H2449" s="19"/>
      <c r="K2449" s="19"/>
      <c r="N2449" s="19"/>
    </row>
    <row r="2450" spans="2:14" x14ac:dyDescent="0.25">
      <c r="B2450" s="19"/>
      <c r="E2450" s="19"/>
      <c r="H2450" s="19"/>
      <c r="K2450" s="19"/>
      <c r="N2450" s="19"/>
    </row>
    <row r="2451" spans="2:14" x14ac:dyDescent="0.25">
      <c r="B2451" s="19"/>
      <c r="E2451" s="19"/>
      <c r="H2451" s="19"/>
      <c r="K2451" s="19"/>
      <c r="N2451" s="19"/>
    </row>
    <row r="2452" spans="2:14" x14ac:dyDescent="0.25">
      <c r="B2452" s="19"/>
      <c r="E2452" s="19"/>
      <c r="H2452" s="19"/>
      <c r="K2452" s="19"/>
      <c r="N2452" s="19"/>
    </row>
    <row r="2453" spans="2:14" x14ac:dyDescent="0.25">
      <c r="B2453" s="19"/>
      <c r="E2453" s="19"/>
      <c r="H2453" s="19"/>
      <c r="K2453" s="19"/>
      <c r="N2453" s="19"/>
    </row>
    <row r="2454" spans="2:14" x14ac:dyDescent="0.25">
      <c r="B2454" s="19"/>
      <c r="E2454" s="19"/>
      <c r="H2454" s="19"/>
      <c r="K2454" s="19"/>
      <c r="N2454" s="19"/>
    </row>
    <row r="2455" spans="2:14" x14ac:dyDescent="0.25">
      <c r="B2455" s="19"/>
      <c r="E2455" s="19"/>
      <c r="H2455" s="19"/>
      <c r="K2455" s="19"/>
      <c r="N2455" s="19"/>
    </row>
    <row r="2456" spans="2:14" x14ac:dyDescent="0.25">
      <c r="B2456" s="19"/>
      <c r="E2456" s="19"/>
      <c r="H2456" s="19"/>
      <c r="K2456" s="19"/>
      <c r="N2456" s="19"/>
    </row>
    <row r="2457" spans="2:14" x14ac:dyDescent="0.25">
      <c r="B2457" s="19"/>
      <c r="E2457" s="19"/>
      <c r="H2457" s="19"/>
      <c r="K2457" s="19"/>
      <c r="N2457" s="19"/>
    </row>
    <row r="2458" spans="2:14" x14ac:dyDescent="0.25">
      <c r="B2458" s="19"/>
      <c r="E2458" s="19"/>
      <c r="H2458" s="19"/>
      <c r="K2458" s="19"/>
      <c r="N2458" s="19"/>
    </row>
    <row r="2459" spans="2:14" x14ac:dyDescent="0.25">
      <c r="B2459" s="19"/>
      <c r="E2459" s="19"/>
      <c r="H2459" s="19"/>
      <c r="K2459" s="19"/>
      <c r="N2459" s="19"/>
    </row>
    <row r="2460" spans="2:14" x14ac:dyDescent="0.25">
      <c r="B2460" s="19"/>
      <c r="E2460" s="19"/>
      <c r="H2460" s="19"/>
      <c r="K2460" s="19"/>
      <c r="N2460" s="19"/>
    </row>
    <row r="2461" spans="2:14" x14ac:dyDescent="0.25">
      <c r="B2461" s="19"/>
      <c r="E2461" s="19"/>
      <c r="H2461" s="19"/>
      <c r="K2461" s="19"/>
      <c r="N2461" s="19"/>
    </row>
    <row r="2462" spans="2:14" x14ac:dyDescent="0.25">
      <c r="B2462" s="19"/>
      <c r="E2462" s="19"/>
      <c r="H2462" s="19"/>
      <c r="K2462" s="19"/>
      <c r="N2462" s="19"/>
    </row>
    <row r="2463" spans="2:14" x14ac:dyDescent="0.25">
      <c r="B2463" s="19"/>
      <c r="E2463" s="19"/>
      <c r="H2463" s="19"/>
      <c r="K2463" s="19"/>
      <c r="N2463" s="19"/>
    </row>
    <row r="2464" spans="2:14" x14ac:dyDescent="0.25">
      <c r="B2464" s="19"/>
      <c r="E2464" s="19"/>
      <c r="H2464" s="19"/>
      <c r="K2464" s="19"/>
      <c r="N2464" s="19"/>
    </row>
    <row r="2465" spans="2:14" x14ac:dyDescent="0.25">
      <c r="B2465" s="19"/>
      <c r="E2465" s="19"/>
      <c r="H2465" s="19"/>
      <c r="K2465" s="19"/>
      <c r="N2465" s="19"/>
    </row>
    <row r="2466" spans="2:14" x14ac:dyDescent="0.25">
      <c r="B2466" s="19"/>
      <c r="E2466" s="19"/>
      <c r="H2466" s="19"/>
      <c r="K2466" s="19"/>
      <c r="N2466" s="19"/>
    </row>
    <row r="2467" spans="2:14" x14ac:dyDescent="0.25">
      <c r="B2467" s="19"/>
      <c r="E2467" s="19"/>
      <c r="H2467" s="19"/>
      <c r="K2467" s="19"/>
      <c r="N2467" s="19"/>
    </row>
    <row r="2468" spans="2:14" x14ac:dyDescent="0.25">
      <c r="B2468" s="19"/>
      <c r="E2468" s="19"/>
      <c r="H2468" s="19"/>
      <c r="K2468" s="19"/>
      <c r="N2468" s="19"/>
    </row>
    <row r="2469" spans="2:14" x14ac:dyDescent="0.25">
      <c r="B2469" s="19"/>
      <c r="E2469" s="19"/>
      <c r="H2469" s="19"/>
      <c r="K2469" s="19"/>
      <c r="N2469" s="19"/>
    </row>
    <row r="2470" spans="2:14" x14ac:dyDescent="0.25">
      <c r="B2470" s="19"/>
      <c r="E2470" s="19"/>
      <c r="H2470" s="19"/>
      <c r="K2470" s="19"/>
      <c r="N2470" s="19"/>
    </row>
    <row r="2471" spans="2:14" x14ac:dyDescent="0.25">
      <c r="B2471" s="19"/>
      <c r="E2471" s="19"/>
      <c r="H2471" s="19"/>
      <c r="K2471" s="19"/>
      <c r="N2471" s="19"/>
    </row>
    <row r="2472" spans="2:14" x14ac:dyDescent="0.25">
      <c r="B2472" s="19"/>
      <c r="E2472" s="19"/>
      <c r="H2472" s="19"/>
      <c r="K2472" s="19"/>
      <c r="N2472" s="19"/>
    </row>
    <row r="2473" spans="2:14" x14ac:dyDescent="0.25">
      <c r="B2473" s="19"/>
      <c r="E2473" s="19"/>
      <c r="H2473" s="19"/>
      <c r="K2473" s="19"/>
      <c r="N2473" s="19"/>
    </row>
    <row r="2474" spans="2:14" x14ac:dyDescent="0.25">
      <c r="B2474" s="19"/>
      <c r="E2474" s="19"/>
      <c r="H2474" s="19"/>
      <c r="K2474" s="19"/>
      <c r="N2474" s="19"/>
    </row>
    <row r="2475" spans="2:14" x14ac:dyDescent="0.25">
      <c r="B2475" s="19"/>
      <c r="E2475" s="19"/>
      <c r="H2475" s="19"/>
      <c r="K2475" s="19"/>
      <c r="N2475" s="19"/>
    </row>
    <row r="2476" spans="2:14" x14ac:dyDescent="0.25">
      <c r="B2476" s="19"/>
      <c r="E2476" s="19"/>
      <c r="H2476" s="19"/>
      <c r="K2476" s="19"/>
      <c r="N2476" s="19"/>
    </row>
    <row r="2477" spans="2:14" x14ac:dyDescent="0.25">
      <c r="B2477" s="19"/>
      <c r="E2477" s="19"/>
      <c r="H2477" s="19"/>
      <c r="K2477" s="19"/>
      <c r="N2477" s="19"/>
    </row>
    <row r="2478" spans="2:14" x14ac:dyDescent="0.25">
      <c r="B2478" s="19"/>
      <c r="E2478" s="19"/>
      <c r="H2478" s="19"/>
      <c r="K2478" s="19"/>
      <c r="N2478" s="19"/>
    </row>
    <row r="2479" spans="2:14" x14ac:dyDescent="0.25">
      <c r="B2479" s="19"/>
      <c r="E2479" s="19"/>
      <c r="H2479" s="19"/>
      <c r="K2479" s="19"/>
      <c r="N2479" s="19"/>
    </row>
    <row r="2480" spans="2:14" x14ac:dyDescent="0.25">
      <c r="B2480" s="19"/>
      <c r="E2480" s="19"/>
      <c r="H2480" s="19"/>
      <c r="K2480" s="19"/>
      <c r="N2480" s="19"/>
    </row>
    <row r="2481" spans="2:14" x14ac:dyDescent="0.25">
      <c r="B2481" s="19"/>
      <c r="E2481" s="19"/>
      <c r="H2481" s="19"/>
      <c r="K2481" s="19"/>
      <c r="N2481" s="19"/>
    </row>
    <row r="2482" spans="2:14" x14ac:dyDescent="0.25">
      <c r="B2482" s="19"/>
      <c r="E2482" s="19"/>
      <c r="H2482" s="19"/>
      <c r="K2482" s="19"/>
      <c r="N2482" s="19"/>
    </row>
    <row r="2483" spans="2:14" x14ac:dyDescent="0.25">
      <c r="B2483" s="19"/>
      <c r="E2483" s="19"/>
      <c r="H2483" s="19"/>
      <c r="K2483" s="19"/>
      <c r="N2483" s="19"/>
    </row>
    <row r="2484" spans="2:14" x14ac:dyDescent="0.25">
      <c r="B2484" s="19"/>
      <c r="E2484" s="19"/>
      <c r="H2484" s="19"/>
      <c r="K2484" s="19"/>
      <c r="N2484" s="19"/>
    </row>
    <row r="2485" spans="2:14" x14ac:dyDescent="0.25">
      <c r="B2485" s="19"/>
      <c r="E2485" s="19"/>
      <c r="H2485" s="19"/>
      <c r="K2485" s="19"/>
      <c r="N2485" s="19"/>
    </row>
    <row r="2486" spans="2:14" x14ac:dyDescent="0.25">
      <c r="B2486" s="19"/>
      <c r="E2486" s="19"/>
      <c r="H2486" s="19"/>
      <c r="K2486" s="19"/>
      <c r="N2486" s="19"/>
    </row>
    <row r="2487" spans="2:14" x14ac:dyDescent="0.25">
      <c r="B2487" s="19"/>
      <c r="E2487" s="19"/>
      <c r="H2487" s="19"/>
      <c r="K2487" s="19"/>
      <c r="N2487" s="19"/>
    </row>
    <row r="2488" spans="2:14" x14ac:dyDescent="0.25">
      <c r="B2488" s="19"/>
      <c r="E2488" s="19"/>
      <c r="H2488" s="19"/>
      <c r="K2488" s="19"/>
      <c r="N2488" s="19"/>
    </row>
    <row r="2489" spans="2:14" x14ac:dyDescent="0.25">
      <c r="B2489" s="19"/>
      <c r="E2489" s="19"/>
      <c r="H2489" s="19"/>
      <c r="K2489" s="19"/>
      <c r="N2489" s="19"/>
    </row>
    <row r="2490" spans="2:14" x14ac:dyDescent="0.25">
      <c r="B2490" s="19"/>
      <c r="E2490" s="19"/>
      <c r="H2490" s="19"/>
      <c r="K2490" s="19"/>
      <c r="N2490" s="19"/>
    </row>
    <row r="2491" spans="2:14" x14ac:dyDescent="0.25">
      <c r="B2491" s="19"/>
      <c r="E2491" s="19"/>
      <c r="H2491" s="19"/>
      <c r="K2491" s="19"/>
      <c r="N2491" s="19"/>
    </row>
    <row r="2492" spans="2:14" x14ac:dyDescent="0.25">
      <c r="B2492" s="19"/>
      <c r="E2492" s="19"/>
      <c r="H2492" s="19"/>
      <c r="K2492" s="19"/>
      <c r="N2492" s="19"/>
    </row>
    <row r="2493" spans="2:14" x14ac:dyDescent="0.25">
      <c r="B2493" s="19"/>
      <c r="E2493" s="19"/>
      <c r="H2493" s="19"/>
      <c r="K2493" s="19"/>
      <c r="N2493" s="19"/>
    </row>
    <row r="2494" spans="2:14" x14ac:dyDescent="0.25">
      <c r="B2494" s="19"/>
      <c r="E2494" s="19"/>
      <c r="H2494" s="19"/>
      <c r="K2494" s="19"/>
      <c r="N2494" s="19"/>
    </row>
    <row r="2495" spans="2:14" x14ac:dyDescent="0.25">
      <c r="B2495" s="19"/>
      <c r="E2495" s="19"/>
      <c r="H2495" s="19"/>
      <c r="K2495" s="19"/>
      <c r="N2495" s="19"/>
    </row>
    <row r="2496" spans="2:14" x14ac:dyDescent="0.25">
      <c r="B2496" s="19"/>
      <c r="E2496" s="19"/>
      <c r="H2496" s="19"/>
      <c r="K2496" s="19"/>
      <c r="N2496" s="19"/>
    </row>
    <row r="2497" spans="2:14" x14ac:dyDescent="0.25">
      <c r="B2497" s="19"/>
      <c r="E2497" s="19"/>
      <c r="H2497" s="19"/>
      <c r="K2497" s="19"/>
      <c r="N2497" s="19"/>
    </row>
    <row r="2498" spans="2:14" x14ac:dyDescent="0.25">
      <c r="B2498" s="19"/>
      <c r="E2498" s="19"/>
      <c r="H2498" s="19"/>
      <c r="K2498" s="19"/>
      <c r="N2498" s="19"/>
    </row>
    <row r="2499" spans="2:14" x14ac:dyDescent="0.25">
      <c r="B2499" s="19"/>
      <c r="E2499" s="19"/>
      <c r="H2499" s="19"/>
      <c r="K2499" s="19"/>
      <c r="N2499" s="19"/>
    </row>
    <row r="2500" spans="2:14" x14ac:dyDescent="0.25">
      <c r="B2500" s="19"/>
      <c r="E2500" s="19"/>
      <c r="H2500" s="19"/>
      <c r="K2500" s="19"/>
      <c r="N2500" s="19"/>
    </row>
    <row r="2501" spans="2:14" x14ac:dyDescent="0.25">
      <c r="B2501" s="19"/>
      <c r="E2501" s="19"/>
      <c r="H2501" s="19"/>
      <c r="K2501" s="19"/>
      <c r="N2501" s="19"/>
    </row>
    <row r="2502" spans="2:14" x14ac:dyDescent="0.25">
      <c r="B2502" s="19"/>
      <c r="E2502" s="19"/>
      <c r="H2502" s="19"/>
      <c r="K2502" s="19"/>
      <c r="N2502" s="19"/>
    </row>
    <row r="2503" spans="2:14" x14ac:dyDescent="0.25">
      <c r="B2503" s="19"/>
      <c r="E2503" s="19"/>
      <c r="H2503" s="19"/>
      <c r="K2503" s="19"/>
      <c r="N2503" s="19"/>
    </row>
    <row r="2504" spans="2:14" x14ac:dyDescent="0.25">
      <c r="B2504" s="19"/>
      <c r="E2504" s="19"/>
      <c r="H2504" s="19"/>
      <c r="K2504" s="19"/>
      <c r="N2504" s="19"/>
    </row>
    <row r="2505" spans="2:14" x14ac:dyDescent="0.25">
      <c r="B2505" s="19"/>
      <c r="E2505" s="19"/>
      <c r="H2505" s="19"/>
      <c r="K2505" s="19"/>
      <c r="N2505" s="19"/>
    </row>
    <row r="2506" spans="2:14" x14ac:dyDescent="0.25">
      <c r="B2506" s="19"/>
      <c r="E2506" s="19"/>
      <c r="H2506" s="19"/>
      <c r="K2506" s="19"/>
      <c r="N2506" s="19"/>
    </row>
    <row r="2507" spans="2:14" x14ac:dyDescent="0.25">
      <c r="B2507" s="19"/>
      <c r="E2507" s="19"/>
      <c r="H2507" s="19"/>
      <c r="K2507" s="19"/>
      <c r="N2507" s="19"/>
    </row>
    <row r="2508" spans="2:14" x14ac:dyDescent="0.25">
      <c r="B2508" s="19"/>
      <c r="E2508" s="19"/>
      <c r="H2508" s="19"/>
      <c r="K2508" s="19"/>
      <c r="N2508" s="19"/>
    </row>
    <row r="2509" spans="2:14" x14ac:dyDescent="0.25">
      <c r="B2509" s="19"/>
      <c r="E2509" s="19"/>
      <c r="H2509" s="19"/>
      <c r="K2509" s="19"/>
      <c r="N2509" s="19"/>
    </row>
    <row r="2510" spans="2:14" x14ac:dyDescent="0.25">
      <c r="B2510" s="19"/>
      <c r="E2510" s="19"/>
      <c r="H2510" s="19"/>
      <c r="K2510" s="19"/>
      <c r="N2510" s="19"/>
    </row>
    <row r="2511" spans="2:14" x14ac:dyDescent="0.25">
      <c r="B2511" s="19"/>
      <c r="E2511" s="19"/>
      <c r="H2511" s="19"/>
      <c r="K2511" s="19"/>
      <c r="N2511" s="19"/>
    </row>
    <row r="2512" spans="2:14" x14ac:dyDescent="0.25">
      <c r="B2512" s="19"/>
      <c r="E2512" s="19"/>
      <c r="H2512" s="19"/>
      <c r="K2512" s="19"/>
      <c r="N2512" s="19"/>
    </row>
    <row r="2513" spans="2:14" x14ac:dyDescent="0.25">
      <c r="B2513" s="19"/>
      <c r="E2513" s="19"/>
      <c r="H2513" s="19"/>
      <c r="K2513" s="19"/>
      <c r="N2513" s="19"/>
    </row>
    <row r="2514" spans="2:14" x14ac:dyDescent="0.25">
      <c r="B2514" s="19"/>
      <c r="E2514" s="19"/>
      <c r="H2514" s="19"/>
      <c r="K2514" s="19"/>
      <c r="N2514" s="19"/>
    </row>
    <row r="2515" spans="2:14" x14ac:dyDescent="0.25">
      <c r="B2515" s="19"/>
      <c r="E2515" s="19"/>
      <c r="H2515" s="19"/>
      <c r="K2515" s="19"/>
      <c r="N2515" s="19"/>
    </row>
    <row r="2516" spans="2:14" x14ac:dyDescent="0.25">
      <c r="B2516" s="19"/>
      <c r="E2516" s="19"/>
      <c r="H2516" s="19"/>
      <c r="K2516" s="19"/>
      <c r="N2516" s="19"/>
    </row>
    <row r="2517" spans="2:14" x14ac:dyDescent="0.25">
      <c r="B2517" s="19"/>
      <c r="E2517" s="19"/>
      <c r="H2517" s="19"/>
      <c r="K2517" s="19"/>
      <c r="N2517" s="19"/>
    </row>
    <row r="2518" spans="2:14" x14ac:dyDescent="0.25">
      <c r="B2518" s="19"/>
      <c r="E2518" s="19"/>
      <c r="H2518" s="19"/>
      <c r="K2518" s="19"/>
      <c r="N2518" s="19"/>
    </row>
    <row r="2519" spans="2:14" x14ac:dyDescent="0.25">
      <c r="B2519" s="19"/>
      <c r="E2519" s="19"/>
      <c r="H2519" s="19"/>
      <c r="K2519" s="19"/>
      <c r="N2519" s="19"/>
    </row>
    <row r="2520" spans="2:14" x14ac:dyDescent="0.25">
      <c r="B2520" s="19"/>
      <c r="E2520" s="19"/>
      <c r="H2520" s="19"/>
      <c r="K2520" s="19"/>
      <c r="N2520" s="19"/>
    </row>
    <row r="2521" spans="2:14" x14ac:dyDescent="0.25">
      <c r="B2521" s="19"/>
      <c r="E2521" s="19"/>
      <c r="H2521" s="19"/>
      <c r="K2521" s="19"/>
      <c r="N2521" s="19"/>
    </row>
    <row r="2522" spans="2:14" x14ac:dyDescent="0.25">
      <c r="B2522" s="19"/>
      <c r="E2522" s="19"/>
      <c r="H2522" s="19"/>
      <c r="K2522" s="19"/>
      <c r="N2522" s="19"/>
    </row>
    <row r="2523" spans="2:14" x14ac:dyDescent="0.25">
      <c r="B2523" s="19"/>
      <c r="E2523" s="19"/>
      <c r="H2523" s="19"/>
      <c r="K2523" s="19"/>
      <c r="N2523" s="19"/>
    </row>
    <row r="2524" spans="2:14" x14ac:dyDescent="0.25">
      <c r="B2524" s="19"/>
      <c r="E2524" s="19"/>
      <c r="H2524" s="19"/>
      <c r="K2524" s="19"/>
      <c r="N2524" s="19"/>
    </row>
    <row r="2525" spans="2:14" x14ac:dyDescent="0.25">
      <c r="B2525" s="19"/>
      <c r="E2525" s="19"/>
      <c r="H2525" s="19"/>
      <c r="K2525" s="19"/>
      <c r="N2525" s="19"/>
    </row>
    <row r="2526" spans="2:14" x14ac:dyDescent="0.25">
      <c r="B2526" s="19"/>
      <c r="E2526" s="19"/>
      <c r="H2526" s="19"/>
      <c r="K2526" s="19"/>
      <c r="N2526" s="19"/>
    </row>
    <row r="2527" spans="2:14" x14ac:dyDescent="0.25">
      <c r="B2527" s="19"/>
      <c r="E2527" s="19"/>
      <c r="H2527" s="19"/>
      <c r="K2527" s="19"/>
      <c r="N2527" s="19"/>
    </row>
    <row r="2528" spans="2:14" x14ac:dyDescent="0.25">
      <c r="B2528" s="19"/>
      <c r="E2528" s="19"/>
      <c r="H2528" s="19"/>
      <c r="K2528" s="19"/>
      <c r="N2528" s="19"/>
    </row>
    <row r="2529" spans="2:14" x14ac:dyDescent="0.25">
      <c r="B2529" s="19"/>
      <c r="E2529" s="19"/>
      <c r="H2529" s="19"/>
      <c r="K2529" s="19"/>
      <c r="N2529" s="19"/>
    </row>
    <row r="2530" spans="2:14" x14ac:dyDescent="0.25">
      <c r="B2530" s="19"/>
      <c r="E2530" s="19"/>
      <c r="H2530" s="19"/>
      <c r="K2530" s="19"/>
      <c r="N2530" s="19"/>
    </row>
    <row r="2531" spans="2:14" x14ac:dyDescent="0.25">
      <c r="B2531" s="19"/>
      <c r="E2531" s="19"/>
      <c r="H2531" s="19"/>
      <c r="K2531" s="19"/>
      <c r="N2531" s="19"/>
    </row>
    <row r="2532" spans="2:14" x14ac:dyDescent="0.25">
      <c r="B2532" s="19"/>
      <c r="E2532" s="19"/>
      <c r="H2532" s="19"/>
      <c r="K2532" s="19"/>
      <c r="N2532" s="19"/>
    </row>
    <row r="2533" spans="2:14" x14ac:dyDescent="0.25">
      <c r="B2533" s="19"/>
      <c r="E2533" s="19"/>
      <c r="H2533" s="19"/>
      <c r="K2533" s="19"/>
      <c r="N2533" s="19"/>
    </row>
    <row r="2534" spans="2:14" x14ac:dyDescent="0.25">
      <c r="B2534" s="19"/>
      <c r="E2534" s="19"/>
      <c r="H2534" s="19"/>
      <c r="K2534" s="19"/>
      <c r="N2534" s="19"/>
    </row>
    <row r="2535" spans="2:14" x14ac:dyDescent="0.25">
      <c r="B2535" s="19"/>
      <c r="E2535" s="19"/>
      <c r="H2535" s="19"/>
      <c r="K2535" s="19"/>
      <c r="N2535" s="19"/>
    </row>
    <row r="2536" spans="2:14" x14ac:dyDescent="0.25">
      <c r="B2536" s="19"/>
      <c r="E2536" s="19"/>
      <c r="H2536" s="19"/>
      <c r="K2536" s="19"/>
      <c r="N2536" s="19"/>
    </row>
    <row r="2537" spans="2:14" x14ac:dyDescent="0.25">
      <c r="B2537" s="19"/>
      <c r="E2537" s="19"/>
      <c r="H2537" s="19"/>
      <c r="K2537" s="19"/>
      <c r="N2537" s="19"/>
    </row>
    <row r="2538" spans="2:14" x14ac:dyDescent="0.25">
      <c r="B2538" s="19"/>
      <c r="E2538" s="19"/>
      <c r="H2538" s="19"/>
      <c r="K2538" s="19"/>
      <c r="N2538" s="19"/>
    </row>
    <row r="2539" spans="2:14" x14ac:dyDescent="0.25">
      <c r="B2539" s="19"/>
      <c r="E2539" s="19"/>
      <c r="H2539" s="19"/>
      <c r="K2539" s="19"/>
      <c r="N2539" s="19"/>
    </row>
    <row r="2540" spans="2:14" x14ac:dyDescent="0.25">
      <c r="B2540" s="19"/>
      <c r="E2540" s="19"/>
      <c r="H2540" s="19"/>
      <c r="K2540" s="19"/>
      <c r="N2540" s="19"/>
    </row>
    <row r="2541" spans="2:14" x14ac:dyDescent="0.25">
      <c r="B2541" s="19"/>
      <c r="E2541" s="19"/>
      <c r="H2541" s="19"/>
      <c r="K2541" s="19"/>
      <c r="N2541" s="19"/>
    </row>
    <row r="2542" spans="2:14" x14ac:dyDescent="0.25">
      <c r="B2542" s="19"/>
      <c r="E2542" s="19"/>
      <c r="H2542" s="19"/>
      <c r="K2542" s="19"/>
      <c r="N2542" s="19"/>
    </row>
    <row r="2543" spans="2:14" x14ac:dyDescent="0.25">
      <c r="B2543" s="19"/>
      <c r="E2543" s="19"/>
      <c r="H2543" s="19"/>
      <c r="K2543" s="19"/>
      <c r="N2543" s="19"/>
    </row>
    <row r="2544" spans="2:14" x14ac:dyDescent="0.25">
      <c r="B2544" s="19"/>
      <c r="E2544" s="19"/>
      <c r="H2544" s="19"/>
      <c r="K2544" s="19"/>
      <c r="N2544" s="19"/>
    </row>
    <row r="2545" spans="2:14" x14ac:dyDescent="0.25">
      <c r="B2545" s="19"/>
      <c r="E2545" s="19"/>
      <c r="H2545" s="19"/>
      <c r="K2545" s="19"/>
      <c r="N2545" s="19"/>
    </row>
    <row r="2546" spans="2:14" x14ac:dyDescent="0.25">
      <c r="B2546" s="19"/>
      <c r="E2546" s="19"/>
      <c r="H2546" s="19"/>
      <c r="K2546" s="19"/>
      <c r="N2546" s="19"/>
    </row>
    <row r="2547" spans="2:14" x14ac:dyDescent="0.25">
      <c r="B2547" s="19"/>
      <c r="E2547" s="19"/>
      <c r="H2547" s="19"/>
      <c r="K2547" s="19"/>
      <c r="N2547" s="19"/>
    </row>
    <row r="2548" spans="2:14" x14ac:dyDescent="0.25">
      <c r="B2548" s="19"/>
      <c r="E2548" s="19"/>
      <c r="H2548" s="19"/>
      <c r="K2548" s="19"/>
      <c r="N2548" s="19"/>
    </row>
    <row r="2549" spans="2:14" x14ac:dyDescent="0.25">
      <c r="B2549" s="19"/>
      <c r="E2549" s="19"/>
      <c r="H2549" s="19"/>
      <c r="K2549" s="19"/>
      <c r="N2549" s="19"/>
    </row>
    <row r="2550" spans="2:14" x14ac:dyDescent="0.25">
      <c r="B2550" s="19"/>
      <c r="E2550" s="19"/>
      <c r="H2550" s="19"/>
      <c r="K2550" s="19"/>
      <c r="N2550" s="19"/>
    </row>
    <row r="2551" spans="2:14" x14ac:dyDescent="0.25">
      <c r="B2551" s="19"/>
      <c r="E2551" s="19"/>
      <c r="H2551" s="19"/>
      <c r="K2551" s="19"/>
      <c r="N2551" s="19"/>
    </row>
    <row r="2552" spans="2:14" x14ac:dyDescent="0.25">
      <c r="B2552" s="19"/>
      <c r="E2552" s="19"/>
      <c r="H2552" s="19"/>
      <c r="K2552" s="19"/>
      <c r="N2552" s="19"/>
    </row>
    <row r="2553" spans="2:14" x14ac:dyDescent="0.25">
      <c r="B2553" s="19"/>
      <c r="E2553" s="19"/>
      <c r="H2553" s="19"/>
      <c r="K2553" s="19"/>
      <c r="N2553" s="19"/>
    </row>
    <row r="2554" spans="2:14" x14ac:dyDescent="0.25">
      <c r="B2554" s="19"/>
      <c r="E2554" s="19"/>
      <c r="H2554" s="19"/>
      <c r="K2554" s="19"/>
      <c r="N2554" s="19"/>
    </row>
    <row r="2555" spans="2:14" x14ac:dyDescent="0.25">
      <c r="B2555" s="19"/>
      <c r="E2555" s="19"/>
      <c r="H2555" s="19"/>
      <c r="K2555" s="19"/>
      <c r="N2555" s="19"/>
    </row>
    <row r="2556" spans="2:14" x14ac:dyDescent="0.25">
      <c r="B2556" s="19"/>
      <c r="E2556" s="19"/>
      <c r="H2556" s="19"/>
      <c r="K2556" s="19"/>
      <c r="N2556" s="19"/>
    </row>
    <row r="2557" spans="2:14" x14ac:dyDescent="0.25">
      <c r="B2557" s="19"/>
      <c r="E2557" s="19"/>
      <c r="H2557" s="19"/>
      <c r="K2557" s="19"/>
      <c r="N2557" s="19"/>
    </row>
    <row r="2558" spans="2:14" x14ac:dyDescent="0.25">
      <c r="B2558" s="19"/>
      <c r="E2558" s="19"/>
      <c r="H2558" s="19"/>
      <c r="K2558" s="19"/>
      <c r="N2558" s="19"/>
    </row>
    <row r="2559" spans="2:14" x14ac:dyDescent="0.25">
      <c r="B2559" s="19"/>
      <c r="E2559" s="19"/>
      <c r="H2559" s="19"/>
      <c r="K2559" s="19"/>
      <c r="N2559" s="19"/>
    </row>
    <row r="2560" spans="2:14" x14ac:dyDescent="0.25">
      <c r="B2560" s="19"/>
      <c r="E2560" s="19"/>
      <c r="H2560" s="19"/>
      <c r="K2560" s="19"/>
      <c r="N2560" s="19"/>
    </row>
    <row r="2561" spans="2:14" x14ac:dyDescent="0.25">
      <c r="B2561" s="19"/>
      <c r="E2561" s="19"/>
      <c r="H2561" s="19"/>
      <c r="K2561" s="19"/>
      <c r="N2561" s="19"/>
    </row>
    <row r="2562" spans="2:14" x14ac:dyDescent="0.25">
      <c r="B2562" s="19"/>
      <c r="E2562" s="19"/>
      <c r="H2562" s="19"/>
      <c r="K2562" s="19"/>
      <c r="N2562" s="19"/>
    </row>
    <row r="2563" spans="2:14" x14ac:dyDescent="0.25">
      <c r="B2563" s="19"/>
      <c r="E2563" s="19"/>
      <c r="H2563" s="19"/>
      <c r="K2563" s="19"/>
      <c r="N2563" s="19"/>
    </row>
    <row r="2564" spans="2:14" x14ac:dyDescent="0.25">
      <c r="B2564" s="19"/>
      <c r="E2564" s="19"/>
      <c r="H2564" s="19"/>
      <c r="K2564" s="19"/>
      <c r="N2564" s="19"/>
    </row>
    <row r="2565" spans="2:14" x14ac:dyDescent="0.25">
      <c r="B2565" s="19"/>
      <c r="E2565" s="19"/>
      <c r="H2565" s="19"/>
      <c r="K2565" s="19"/>
      <c r="N2565" s="19"/>
    </row>
    <row r="2566" spans="2:14" x14ac:dyDescent="0.25">
      <c r="B2566" s="19"/>
      <c r="E2566" s="19"/>
      <c r="H2566" s="19"/>
      <c r="K2566" s="19"/>
      <c r="N2566" s="19"/>
    </row>
    <row r="2567" spans="2:14" x14ac:dyDescent="0.25">
      <c r="B2567" s="19"/>
      <c r="E2567" s="19"/>
      <c r="H2567" s="19"/>
      <c r="K2567" s="19"/>
      <c r="N2567" s="19"/>
    </row>
    <row r="2568" spans="2:14" x14ac:dyDescent="0.25">
      <c r="B2568" s="19"/>
      <c r="E2568" s="19"/>
      <c r="H2568" s="19"/>
      <c r="K2568" s="19"/>
      <c r="N2568" s="19"/>
    </row>
    <row r="2569" spans="2:14" x14ac:dyDescent="0.25">
      <c r="B2569" s="19"/>
      <c r="E2569" s="19"/>
      <c r="H2569" s="19"/>
      <c r="K2569" s="19"/>
      <c r="N2569" s="19"/>
    </row>
    <row r="2570" spans="2:14" x14ac:dyDescent="0.25">
      <c r="B2570" s="19"/>
      <c r="E2570" s="19"/>
      <c r="H2570" s="19"/>
      <c r="K2570" s="19"/>
      <c r="N2570" s="19"/>
    </row>
    <row r="2571" spans="2:14" x14ac:dyDescent="0.25">
      <c r="B2571" s="19"/>
      <c r="E2571" s="19"/>
      <c r="H2571" s="19"/>
      <c r="K2571" s="19"/>
      <c r="N2571" s="19"/>
    </row>
    <row r="2572" spans="2:14" x14ac:dyDescent="0.25">
      <c r="B2572" s="19"/>
      <c r="E2572" s="19"/>
      <c r="H2572" s="19"/>
      <c r="K2572" s="19"/>
      <c r="N2572" s="19"/>
    </row>
    <row r="2573" spans="2:14" x14ac:dyDescent="0.25">
      <c r="B2573" s="19"/>
      <c r="E2573" s="19"/>
      <c r="H2573" s="19"/>
      <c r="K2573" s="19"/>
      <c r="N2573" s="19"/>
    </row>
    <row r="2574" spans="2:14" x14ac:dyDescent="0.25">
      <c r="B2574" s="19"/>
      <c r="E2574" s="19"/>
      <c r="H2574" s="19"/>
      <c r="K2574" s="19"/>
      <c r="N2574" s="19"/>
    </row>
    <row r="2575" spans="2:14" x14ac:dyDescent="0.25">
      <c r="B2575" s="19"/>
      <c r="E2575" s="19"/>
      <c r="H2575" s="19"/>
      <c r="K2575" s="19"/>
      <c r="N2575" s="19"/>
    </row>
    <row r="2576" spans="2:14" x14ac:dyDescent="0.25">
      <c r="B2576" s="19"/>
      <c r="E2576" s="19"/>
      <c r="H2576" s="19"/>
      <c r="K2576" s="19"/>
      <c r="N2576" s="19"/>
    </row>
    <row r="2577" spans="2:14" x14ac:dyDescent="0.25">
      <c r="B2577" s="19"/>
      <c r="E2577" s="19"/>
      <c r="H2577" s="19"/>
      <c r="K2577" s="19"/>
      <c r="N2577" s="19"/>
    </row>
    <row r="2578" spans="2:14" x14ac:dyDescent="0.25">
      <c r="B2578" s="19"/>
      <c r="E2578" s="19"/>
      <c r="H2578" s="19"/>
      <c r="K2578" s="19"/>
      <c r="N2578" s="19"/>
    </row>
    <row r="2579" spans="2:14" x14ac:dyDescent="0.25">
      <c r="B2579" s="19"/>
      <c r="E2579" s="19"/>
      <c r="H2579" s="19"/>
      <c r="K2579" s="19"/>
      <c r="N2579" s="19"/>
    </row>
    <row r="2580" spans="2:14" x14ac:dyDescent="0.25">
      <c r="B2580" s="19"/>
      <c r="E2580" s="19"/>
      <c r="H2580" s="19"/>
      <c r="K2580" s="19"/>
      <c r="N2580" s="19"/>
    </row>
    <row r="2581" spans="2:14" x14ac:dyDescent="0.25">
      <c r="B2581" s="19"/>
      <c r="E2581" s="19"/>
      <c r="H2581" s="19"/>
      <c r="K2581" s="19"/>
      <c r="N2581" s="19"/>
    </row>
    <row r="2582" spans="2:14" x14ac:dyDescent="0.25">
      <c r="B2582" s="19"/>
      <c r="E2582" s="19"/>
      <c r="H2582" s="19"/>
      <c r="K2582" s="19"/>
      <c r="N2582" s="19"/>
    </row>
    <row r="2583" spans="2:14" x14ac:dyDescent="0.25">
      <c r="B2583" s="19"/>
      <c r="E2583" s="19"/>
      <c r="H2583" s="19"/>
      <c r="K2583" s="19"/>
      <c r="N2583" s="19"/>
    </row>
    <row r="2584" spans="2:14" x14ac:dyDescent="0.25">
      <c r="B2584" s="19"/>
      <c r="E2584" s="19"/>
      <c r="H2584" s="19"/>
      <c r="K2584" s="19"/>
      <c r="N2584" s="19"/>
    </row>
    <row r="2585" spans="2:14" x14ac:dyDescent="0.25">
      <c r="B2585" s="19"/>
      <c r="E2585" s="19"/>
      <c r="H2585" s="19"/>
      <c r="K2585" s="19"/>
      <c r="N2585" s="19"/>
    </row>
    <row r="2586" spans="2:14" x14ac:dyDescent="0.25">
      <c r="B2586" s="19"/>
      <c r="E2586" s="19"/>
      <c r="H2586" s="19"/>
      <c r="K2586" s="19"/>
      <c r="N2586" s="19"/>
    </row>
    <row r="2587" spans="2:14" x14ac:dyDescent="0.25">
      <c r="B2587" s="19"/>
      <c r="E2587" s="19"/>
      <c r="H2587" s="19"/>
      <c r="K2587" s="19"/>
      <c r="N2587" s="19"/>
    </row>
    <row r="2588" spans="2:14" x14ac:dyDescent="0.25">
      <c r="B2588" s="19"/>
      <c r="E2588" s="19"/>
      <c r="H2588" s="19"/>
      <c r="K2588" s="19"/>
      <c r="N2588" s="19"/>
    </row>
    <row r="2589" spans="2:14" x14ac:dyDescent="0.25">
      <c r="B2589" s="19"/>
      <c r="E2589" s="19"/>
      <c r="H2589" s="19"/>
      <c r="K2589" s="19"/>
      <c r="N2589" s="19"/>
    </row>
    <row r="2590" spans="2:14" x14ac:dyDescent="0.25">
      <c r="B2590" s="19"/>
      <c r="E2590" s="19"/>
      <c r="H2590" s="19"/>
      <c r="K2590" s="19"/>
      <c r="N2590" s="19"/>
    </row>
    <row r="2591" spans="2:14" x14ac:dyDescent="0.25">
      <c r="B2591" s="19"/>
      <c r="E2591" s="19"/>
      <c r="H2591" s="19"/>
      <c r="K2591" s="19"/>
      <c r="N2591" s="19"/>
    </row>
    <row r="2592" spans="2:14" x14ac:dyDescent="0.25">
      <c r="B2592" s="19"/>
      <c r="E2592" s="19"/>
      <c r="H2592" s="19"/>
      <c r="K2592" s="19"/>
      <c r="N2592" s="19"/>
    </row>
    <row r="2593" spans="2:14" x14ac:dyDescent="0.25">
      <c r="B2593" s="19"/>
      <c r="E2593" s="19"/>
      <c r="H2593" s="19"/>
      <c r="K2593" s="19"/>
      <c r="N2593" s="19"/>
    </row>
    <row r="2594" spans="2:14" x14ac:dyDescent="0.25">
      <c r="B2594" s="19"/>
      <c r="E2594" s="19"/>
      <c r="H2594" s="19"/>
      <c r="K2594" s="19"/>
      <c r="N2594" s="19"/>
    </row>
    <row r="2595" spans="2:14" x14ac:dyDescent="0.25">
      <c r="B2595" s="19"/>
      <c r="E2595" s="19"/>
      <c r="H2595" s="19"/>
      <c r="K2595" s="19"/>
      <c r="N2595" s="19"/>
    </row>
    <row r="2596" spans="2:14" x14ac:dyDescent="0.25">
      <c r="B2596" s="19"/>
      <c r="E2596" s="19"/>
      <c r="H2596" s="19"/>
      <c r="K2596" s="19"/>
      <c r="N2596" s="19"/>
    </row>
    <row r="2597" spans="2:14" x14ac:dyDescent="0.25">
      <c r="B2597" s="19"/>
      <c r="E2597" s="19"/>
      <c r="H2597" s="19"/>
      <c r="K2597" s="19"/>
      <c r="N2597" s="19"/>
    </row>
    <row r="2598" spans="2:14" x14ac:dyDescent="0.25">
      <c r="B2598" s="19"/>
      <c r="E2598" s="19"/>
      <c r="H2598" s="19"/>
      <c r="K2598" s="19"/>
      <c r="N2598" s="19"/>
    </row>
    <row r="2599" spans="2:14" x14ac:dyDescent="0.25">
      <c r="B2599" s="19"/>
      <c r="E2599" s="19"/>
      <c r="H2599" s="19"/>
      <c r="K2599" s="19"/>
      <c r="N2599" s="19"/>
    </row>
    <row r="2600" spans="2:14" x14ac:dyDescent="0.25">
      <c r="B2600" s="19"/>
      <c r="E2600" s="19"/>
      <c r="H2600" s="19"/>
      <c r="K2600" s="19"/>
      <c r="N2600" s="19"/>
    </row>
    <row r="2601" spans="2:14" x14ac:dyDescent="0.25">
      <c r="B2601" s="19"/>
      <c r="E2601" s="19"/>
      <c r="H2601" s="19"/>
      <c r="K2601" s="19"/>
      <c r="N2601" s="19"/>
    </row>
    <row r="2602" spans="2:14" x14ac:dyDescent="0.25">
      <c r="B2602" s="19"/>
      <c r="E2602" s="19"/>
      <c r="H2602" s="19"/>
      <c r="K2602" s="19"/>
      <c r="N2602" s="19"/>
    </row>
    <row r="2603" spans="2:14" x14ac:dyDescent="0.25">
      <c r="B2603" s="19"/>
      <c r="E2603" s="19"/>
      <c r="H2603" s="19"/>
      <c r="K2603" s="19"/>
      <c r="N2603" s="19"/>
    </row>
    <row r="2604" spans="2:14" x14ac:dyDescent="0.25">
      <c r="B2604" s="19"/>
      <c r="E2604" s="19"/>
      <c r="H2604" s="19"/>
      <c r="K2604" s="19"/>
      <c r="N2604" s="19"/>
    </row>
    <row r="2605" spans="2:14" x14ac:dyDescent="0.25">
      <c r="B2605" s="19"/>
      <c r="E2605" s="19"/>
      <c r="H2605" s="19"/>
      <c r="K2605" s="19"/>
      <c r="N2605" s="19"/>
    </row>
    <row r="2606" spans="2:14" x14ac:dyDescent="0.25">
      <c r="B2606" s="19"/>
      <c r="E2606" s="19"/>
      <c r="H2606" s="19"/>
      <c r="K2606" s="19"/>
      <c r="N2606" s="19"/>
    </row>
    <row r="2607" spans="2:14" x14ac:dyDescent="0.25">
      <c r="B2607" s="19"/>
      <c r="E2607" s="19"/>
      <c r="H2607" s="19"/>
      <c r="K2607" s="19"/>
      <c r="N2607" s="19"/>
    </row>
    <row r="2608" spans="2:14" x14ac:dyDescent="0.25">
      <c r="B2608" s="19"/>
      <c r="E2608" s="19"/>
      <c r="H2608" s="19"/>
      <c r="K2608" s="19"/>
      <c r="N2608" s="19"/>
    </row>
    <row r="2609" spans="2:14" x14ac:dyDescent="0.25">
      <c r="B2609" s="19"/>
      <c r="E2609" s="19"/>
      <c r="H2609" s="19"/>
      <c r="K2609" s="19"/>
      <c r="N2609" s="19"/>
    </row>
    <row r="2610" spans="2:14" x14ac:dyDescent="0.25">
      <c r="B2610" s="19"/>
      <c r="E2610" s="19"/>
      <c r="H2610" s="19"/>
      <c r="K2610" s="19"/>
      <c r="N2610" s="19"/>
    </row>
    <row r="2611" spans="2:14" x14ac:dyDescent="0.25">
      <c r="B2611" s="19"/>
      <c r="E2611" s="19"/>
      <c r="H2611" s="19"/>
      <c r="K2611" s="19"/>
      <c r="N2611" s="19"/>
    </row>
    <row r="2612" spans="2:14" x14ac:dyDescent="0.25">
      <c r="B2612" s="19"/>
      <c r="E2612" s="19"/>
      <c r="H2612" s="19"/>
      <c r="K2612" s="19"/>
      <c r="N2612" s="19"/>
    </row>
    <row r="2613" spans="2:14" x14ac:dyDescent="0.25">
      <c r="B2613" s="19"/>
      <c r="E2613" s="19"/>
      <c r="H2613" s="19"/>
      <c r="K2613" s="19"/>
      <c r="N2613" s="19"/>
    </row>
    <row r="2614" spans="2:14" x14ac:dyDescent="0.25">
      <c r="B2614" s="19"/>
      <c r="E2614" s="19"/>
      <c r="H2614" s="19"/>
      <c r="K2614" s="19"/>
      <c r="N2614" s="19"/>
    </row>
    <row r="2615" spans="2:14" x14ac:dyDescent="0.25">
      <c r="B2615" s="19"/>
      <c r="E2615" s="19"/>
      <c r="H2615" s="19"/>
      <c r="K2615" s="19"/>
      <c r="N2615" s="19"/>
    </row>
    <row r="2616" spans="2:14" x14ac:dyDescent="0.25">
      <c r="B2616" s="19"/>
      <c r="E2616" s="19"/>
      <c r="H2616" s="19"/>
      <c r="K2616" s="19"/>
      <c r="N2616" s="19"/>
    </row>
    <row r="2617" spans="2:14" x14ac:dyDescent="0.25">
      <c r="B2617" s="19"/>
      <c r="E2617" s="19"/>
      <c r="H2617" s="19"/>
      <c r="K2617" s="19"/>
      <c r="N2617" s="19"/>
    </row>
    <row r="2618" spans="2:14" x14ac:dyDescent="0.25">
      <c r="B2618" s="19"/>
      <c r="E2618" s="19"/>
      <c r="H2618" s="19"/>
      <c r="K2618" s="19"/>
      <c r="N2618" s="19"/>
    </row>
    <row r="2619" spans="2:14" x14ac:dyDescent="0.25">
      <c r="B2619" s="19"/>
      <c r="E2619" s="19"/>
      <c r="H2619" s="19"/>
      <c r="K2619" s="19"/>
      <c r="N2619" s="19"/>
    </row>
    <row r="2620" spans="2:14" x14ac:dyDescent="0.25">
      <c r="B2620" s="19"/>
      <c r="E2620" s="19"/>
      <c r="H2620" s="19"/>
      <c r="K2620" s="19"/>
      <c r="N2620" s="19"/>
    </row>
    <row r="2621" spans="2:14" x14ac:dyDescent="0.25">
      <c r="B2621" s="19"/>
      <c r="E2621" s="19"/>
      <c r="H2621" s="19"/>
      <c r="K2621" s="19"/>
      <c r="N2621" s="19"/>
    </row>
    <row r="2622" spans="2:14" x14ac:dyDescent="0.25">
      <c r="B2622" s="19"/>
      <c r="E2622" s="19"/>
      <c r="H2622" s="19"/>
      <c r="K2622" s="19"/>
      <c r="N2622" s="19"/>
    </row>
    <row r="2623" spans="2:14" x14ac:dyDescent="0.25">
      <c r="B2623" s="19"/>
      <c r="E2623" s="19"/>
      <c r="H2623" s="19"/>
      <c r="K2623" s="19"/>
      <c r="N2623" s="19"/>
    </row>
    <row r="2624" spans="2:14" x14ac:dyDescent="0.25">
      <c r="B2624" s="19"/>
      <c r="E2624" s="19"/>
      <c r="H2624" s="19"/>
      <c r="K2624" s="19"/>
      <c r="N2624" s="19"/>
    </row>
    <row r="2625" spans="2:14" x14ac:dyDescent="0.25">
      <c r="B2625" s="19"/>
      <c r="E2625" s="19"/>
      <c r="H2625" s="19"/>
      <c r="K2625" s="19"/>
      <c r="N2625" s="19"/>
    </row>
    <row r="2626" spans="2:14" x14ac:dyDescent="0.25">
      <c r="B2626" s="19"/>
      <c r="E2626" s="19"/>
      <c r="H2626" s="19"/>
      <c r="K2626" s="19"/>
      <c r="N2626" s="19"/>
    </row>
    <row r="2627" spans="2:14" x14ac:dyDescent="0.25">
      <c r="B2627" s="19"/>
      <c r="E2627" s="19"/>
      <c r="H2627" s="19"/>
      <c r="K2627" s="19"/>
      <c r="N2627" s="19"/>
    </row>
    <row r="2628" spans="2:14" x14ac:dyDescent="0.25">
      <c r="B2628" s="19"/>
      <c r="E2628" s="19"/>
      <c r="H2628" s="19"/>
      <c r="K2628" s="19"/>
      <c r="N2628" s="19"/>
    </row>
    <row r="2629" spans="2:14" x14ac:dyDescent="0.25">
      <c r="B2629" s="19"/>
      <c r="E2629" s="19"/>
      <c r="H2629" s="19"/>
      <c r="K2629" s="19"/>
      <c r="N2629" s="19"/>
    </row>
    <row r="2630" spans="2:14" x14ac:dyDescent="0.25">
      <c r="B2630" s="19"/>
      <c r="E2630" s="19"/>
      <c r="H2630" s="19"/>
      <c r="K2630" s="19"/>
      <c r="N2630" s="19"/>
    </row>
    <row r="2631" spans="2:14" x14ac:dyDescent="0.25">
      <c r="B2631" s="19"/>
      <c r="E2631" s="19"/>
      <c r="H2631" s="19"/>
      <c r="K2631" s="19"/>
      <c r="N2631" s="19"/>
    </row>
    <row r="2632" spans="2:14" x14ac:dyDescent="0.25">
      <c r="B2632" s="19"/>
      <c r="E2632" s="19"/>
      <c r="H2632" s="19"/>
      <c r="K2632" s="19"/>
      <c r="N2632" s="19"/>
    </row>
    <row r="2633" spans="2:14" x14ac:dyDescent="0.25">
      <c r="B2633" s="19"/>
      <c r="E2633" s="19"/>
      <c r="H2633" s="19"/>
      <c r="K2633" s="19"/>
      <c r="N2633" s="19"/>
    </row>
    <row r="2634" spans="2:14" x14ac:dyDescent="0.25">
      <c r="B2634" s="19"/>
      <c r="E2634" s="19"/>
      <c r="H2634" s="19"/>
      <c r="K2634" s="19"/>
      <c r="N2634" s="19"/>
    </row>
    <row r="2635" spans="2:14" x14ac:dyDescent="0.25">
      <c r="B2635" s="19"/>
      <c r="E2635" s="19"/>
      <c r="H2635" s="19"/>
      <c r="K2635" s="19"/>
      <c r="N2635" s="19"/>
    </row>
    <row r="2636" spans="2:14" x14ac:dyDescent="0.25">
      <c r="B2636" s="19"/>
      <c r="E2636" s="19"/>
      <c r="H2636" s="19"/>
      <c r="K2636" s="19"/>
      <c r="N2636" s="19"/>
    </row>
    <row r="2637" spans="2:14" x14ac:dyDescent="0.25">
      <c r="B2637" s="19"/>
      <c r="E2637" s="19"/>
      <c r="H2637" s="19"/>
      <c r="K2637" s="19"/>
      <c r="N2637" s="19"/>
    </row>
    <row r="2638" spans="2:14" x14ac:dyDescent="0.25">
      <c r="B2638" s="19"/>
      <c r="E2638" s="19"/>
      <c r="H2638" s="19"/>
      <c r="K2638" s="19"/>
      <c r="N2638" s="19"/>
    </row>
    <row r="2639" spans="2:14" x14ac:dyDescent="0.25">
      <c r="B2639" s="19"/>
      <c r="E2639" s="19"/>
      <c r="H2639" s="19"/>
      <c r="K2639" s="19"/>
      <c r="N2639" s="19"/>
    </row>
    <row r="2640" spans="2:14" x14ac:dyDescent="0.25">
      <c r="B2640" s="19"/>
      <c r="E2640" s="19"/>
      <c r="H2640" s="19"/>
      <c r="K2640" s="19"/>
      <c r="N2640" s="19"/>
    </row>
    <row r="2641" spans="2:14" x14ac:dyDescent="0.25">
      <c r="B2641" s="19"/>
      <c r="E2641" s="19"/>
      <c r="H2641" s="19"/>
      <c r="K2641" s="19"/>
      <c r="N2641" s="19"/>
    </row>
    <row r="2642" spans="2:14" x14ac:dyDescent="0.25">
      <c r="B2642" s="19"/>
      <c r="E2642" s="19"/>
      <c r="H2642" s="19"/>
      <c r="K2642" s="19"/>
      <c r="N2642" s="19"/>
    </row>
    <row r="2643" spans="2:14" x14ac:dyDescent="0.25">
      <c r="B2643" s="19"/>
      <c r="E2643" s="19"/>
      <c r="H2643" s="19"/>
      <c r="K2643" s="19"/>
      <c r="N2643" s="19"/>
    </row>
    <row r="2644" spans="2:14" x14ac:dyDescent="0.25">
      <c r="B2644" s="19"/>
      <c r="E2644" s="19"/>
      <c r="H2644" s="19"/>
      <c r="K2644" s="19"/>
      <c r="N2644" s="19"/>
    </row>
    <row r="2645" spans="2:14" x14ac:dyDescent="0.25">
      <c r="B2645" s="19"/>
      <c r="E2645" s="19"/>
      <c r="H2645" s="19"/>
      <c r="K2645" s="19"/>
      <c r="N2645" s="19"/>
    </row>
    <row r="2646" spans="2:14" x14ac:dyDescent="0.25">
      <c r="B2646" s="19"/>
      <c r="E2646" s="19"/>
      <c r="H2646" s="19"/>
      <c r="K2646" s="19"/>
      <c r="N2646" s="19"/>
    </row>
    <row r="2647" spans="2:14" x14ac:dyDescent="0.25">
      <c r="B2647" s="19"/>
      <c r="E2647" s="19"/>
      <c r="H2647" s="19"/>
      <c r="K2647" s="19"/>
      <c r="N2647" s="19"/>
    </row>
    <row r="2648" spans="2:14" x14ac:dyDescent="0.25">
      <c r="B2648" s="19"/>
      <c r="E2648" s="19"/>
      <c r="H2648" s="19"/>
      <c r="K2648" s="19"/>
      <c r="N2648" s="19"/>
    </row>
    <row r="2649" spans="2:14" x14ac:dyDescent="0.25">
      <c r="B2649" s="19"/>
      <c r="E2649" s="19"/>
      <c r="H2649" s="19"/>
      <c r="K2649" s="19"/>
      <c r="N2649" s="19"/>
    </row>
    <row r="2650" spans="2:14" x14ac:dyDescent="0.25">
      <c r="B2650" s="19"/>
      <c r="E2650" s="19"/>
      <c r="H2650" s="19"/>
      <c r="K2650" s="19"/>
      <c r="N2650" s="19"/>
    </row>
    <row r="2651" spans="2:14" x14ac:dyDescent="0.25">
      <c r="B2651" s="19"/>
      <c r="E2651" s="19"/>
      <c r="H2651" s="19"/>
      <c r="K2651" s="19"/>
      <c r="N2651" s="19"/>
    </row>
    <row r="2652" spans="2:14" x14ac:dyDescent="0.25">
      <c r="B2652" s="19"/>
      <c r="E2652" s="19"/>
      <c r="H2652" s="19"/>
      <c r="K2652" s="19"/>
      <c r="N2652" s="19"/>
    </row>
    <row r="2653" spans="2:14" x14ac:dyDescent="0.25">
      <c r="B2653" s="19"/>
      <c r="E2653" s="19"/>
      <c r="H2653" s="19"/>
      <c r="K2653" s="19"/>
      <c r="N2653" s="19"/>
    </row>
    <row r="2654" spans="2:14" x14ac:dyDescent="0.25">
      <c r="B2654" s="19"/>
      <c r="E2654" s="19"/>
      <c r="H2654" s="19"/>
      <c r="K2654" s="19"/>
      <c r="N2654" s="19"/>
    </row>
    <row r="2655" spans="2:14" x14ac:dyDescent="0.25">
      <c r="B2655" s="19"/>
      <c r="E2655" s="19"/>
      <c r="H2655" s="19"/>
      <c r="K2655" s="19"/>
      <c r="N2655" s="19"/>
    </row>
    <row r="2656" spans="2:14" x14ac:dyDescent="0.25">
      <c r="B2656" s="19"/>
      <c r="E2656" s="19"/>
      <c r="H2656" s="19"/>
      <c r="K2656" s="19"/>
      <c r="N2656" s="19"/>
    </row>
    <row r="2657" spans="2:14" x14ac:dyDescent="0.25">
      <c r="B2657" s="19"/>
      <c r="E2657" s="19"/>
      <c r="H2657" s="19"/>
      <c r="K2657" s="19"/>
      <c r="N2657" s="19"/>
    </row>
    <row r="2658" spans="2:14" x14ac:dyDescent="0.25">
      <c r="B2658" s="19"/>
      <c r="E2658" s="19"/>
      <c r="H2658" s="19"/>
      <c r="K2658" s="19"/>
      <c r="N2658" s="19"/>
    </row>
    <row r="2659" spans="2:14" x14ac:dyDescent="0.25">
      <c r="B2659" s="19"/>
      <c r="E2659" s="19"/>
      <c r="H2659" s="19"/>
      <c r="K2659" s="19"/>
      <c r="N2659" s="19"/>
    </row>
    <row r="2660" spans="2:14" x14ac:dyDescent="0.25">
      <c r="B2660" s="19"/>
      <c r="E2660" s="19"/>
      <c r="H2660" s="19"/>
      <c r="K2660" s="19"/>
      <c r="N2660" s="19"/>
    </row>
    <row r="2661" spans="2:14" x14ac:dyDescent="0.25">
      <c r="B2661" s="19"/>
      <c r="E2661" s="19"/>
      <c r="H2661" s="19"/>
      <c r="K2661" s="19"/>
      <c r="N2661" s="19"/>
    </row>
    <row r="2662" spans="2:14" x14ac:dyDescent="0.25">
      <c r="B2662" s="19"/>
      <c r="E2662" s="19"/>
      <c r="H2662" s="19"/>
      <c r="K2662" s="19"/>
      <c r="N2662" s="19"/>
    </row>
    <row r="2663" spans="2:14" x14ac:dyDescent="0.25">
      <c r="B2663" s="19"/>
      <c r="E2663" s="19"/>
      <c r="H2663" s="19"/>
      <c r="K2663" s="19"/>
      <c r="N2663" s="19"/>
    </row>
    <row r="2664" spans="2:14" x14ac:dyDescent="0.25">
      <c r="B2664" s="19"/>
      <c r="E2664" s="19"/>
      <c r="H2664" s="19"/>
      <c r="K2664" s="19"/>
      <c r="N2664" s="19"/>
    </row>
    <row r="2665" spans="2:14" x14ac:dyDescent="0.25">
      <c r="B2665" s="19"/>
      <c r="E2665" s="19"/>
      <c r="H2665" s="19"/>
      <c r="K2665" s="19"/>
      <c r="N2665" s="19"/>
    </row>
    <row r="2666" spans="2:14" x14ac:dyDescent="0.25">
      <c r="B2666" s="19"/>
      <c r="E2666" s="19"/>
      <c r="H2666" s="19"/>
      <c r="K2666" s="19"/>
      <c r="N2666" s="19"/>
    </row>
    <row r="2667" spans="2:14" x14ac:dyDescent="0.25">
      <c r="B2667" s="19"/>
      <c r="E2667" s="19"/>
      <c r="H2667" s="19"/>
      <c r="K2667" s="19"/>
      <c r="N2667" s="19"/>
    </row>
    <row r="2668" spans="2:14" x14ac:dyDescent="0.25">
      <c r="B2668" s="19"/>
      <c r="E2668" s="19"/>
      <c r="H2668" s="19"/>
      <c r="K2668" s="19"/>
      <c r="N2668" s="19"/>
    </row>
    <row r="2669" spans="2:14" x14ac:dyDescent="0.25">
      <c r="B2669" s="19"/>
      <c r="E2669" s="19"/>
      <c r="H2669" s="19"/>
      <c r="K2669" s="19"/>
      <c r="N2669" s="19"/>
    </row>
    <row r="2670" spans="2:14" x14ac:dyDescent="0.25">
      <c r="B2670" s="19"/>
      <c r="E2670" s="19"/>
      <c r="H2670" s="19"/>
      <c r="K2670" s="19"/>
      <c r="N2670" s="19"/>
    </row>
    <row r="2671" spans="2:14" x14ac:dyDescent="0.25">
      <c r="B2671" s="19"/>
      <c r="E2671" s="19"/>
      <c r="H2671" s="19"/>
      <c r="K2671" s="19"/>
      <c r="N2671" s="19"/>
    </row>
    <row r="2672" spans="2:14" x14ac:dyDescent="0.25">
      <c r="B2672" s="19"/>
      <c r="E2672" s="19"/>
      <c r="H2672" s="19"/>
      <c r="K2672" s="19"/>
      <c r="N2672" s="19"/>
    </row>
    <row r="2673" spans="2:14" x14ac:dyDescent="0.25">
      <c r="B2673" s="19"/>
      <c r="E2673" s="19"/>
      <c r="H2673" s="19"/>
      <c r="K2673" s="19"/>
      <c r="N2673" s="19"/>
    </row>
    <row r="2674" spans="2:14" x14ac:dyDescent="0.25">
      <c r="B2674" s="19"/>
      <c r="E2674" s="19"/>
      <c r="H2674" s="19"/>
      <c r="K2674" s="19"/>
      <c r="N2674" s="19"/>
    </row>
    <row r="2675" spans="2:14" x14ac:dyDescent="0.25">
      <c r="B2675" s="19"/>
      <c r="E2675" s="19"/>
      <c r="H2675" s="19"/>
      <c r="K2675" s="19"/>
      <c r="N2675" s="19"/>
    </row>
    <row r="2676" spans="2:14" x14ac:dyDescent="0.25">
      <c r="B2676" s="19"/>
      <c r="E2676" s="19"/>
      <c r="H2676" s="19"/>
      <c r="K2676" s="19"/>
      <c r="N2676" s="19"/>
    </row>
    <row r="2677" spans="2:14" x14ac:dyDescent="0.25">
      <c r="B2677" s="19"/>
      <c r="E2677" s="19"/>
      <c r="H2677" s="19"/>
      <c r="K2677" s="19"/>
      <c r="N2677" s="19"/>
    </row>
    <row r="2678" spans="2:14" x14ac:dyDescent="0.25">
      <c r="B2678" s="19"/>
      <c r="E2678" s="19"/>
      <c r="H2678" s="19"/>
      <c r="K2678" s="19"/>
      <c r="N2678" s="19"/>
    </row>
    <row r="2679" spans="2:14" x14ac:dyDescent="0.25">
      <c r="B2679" s="19"/>
      <c r="E2679" s="19"/>
      <c r="H2679" s="19"/>
      <c r="K2679" s="19"/>
      <c r="N2679" s="19"/>
    </row>
    <row r="2680" spans="2:14" x14ac:dyDescent="0.25">
      <c r="B2680" s="19"/>
      <c r="E2680" s="19"/>
      <c r="H2680" s="19"/>
      <c r="K2680" s="19"/>
      <c r="N2680" s="19"/>
    </row>
    <row r="2681" spans="2:14" x14ac:dyDescent="0.25">
      <c r="B2681" s="19"/>
      <c r="E2681" s="19"/>
      <c r="H2681" s="19"/>
      <c r="K2681" s="19"/>
      <c r="N2681" s="19"/>
    </row>
    <row r="2682" spans="2:14" x14ac:dyDescent="0.25">
      <c r="B2682" s="19"/>
      <c r="E2682" s="19"/>
      <c r="H2682" s="19"/>
      <c r="K2682" s="19"/>
      <c r="N2682" s="19"/>
    </row>
    <row r="2683" spans="2:14" x14ac:dyDescent="0.25">
      <c r="B2683" s="19"/>
      <c r="E2683" s="19"/>
      <c r="H2683" s="19"/>
      <c r="K2683" s="19"/>
      <c r="N2683" s="19"/>
    </row>
    <row r="2684" spans="2:14" x14ac:dyDescent="0.25">
      <c r="B2684" s="19"/>
      <c r="E2684" s="19"/>
      <c r="H2684" s="19"/>
      <c r="K2684" s="19"/>
      <c r="N2684" s="19"/>
    </row>
    <row r="2685" spans="2:14" x14ac:dyDescent="0.25">
      <c r="B2685" s="19"/>
      <c r="E2685" s="19"/>
      <c r="H2685" s="19"/>
      <c r="K2685" s="19"/>
      <c r="N2685" s="19"/>
    </row>
    <row r="2686" spans="2:14" x14ac:dyDescent="0.25">
      <c r="B2686" s="19"/>
      <c r="E2686" s="19"/>
      <c r="H2686" s="19"/>
      <c r="K2686" s="19"/>
      <c r="N2686" s="19"/>
    </row>
    <row r="2687" spans="2:14" x14ac:dyDescent="0.25">
      <c r="B2687" s="19"/>
      <c r="E2687" s="19"/>
      <c r="H2687" s="19"/>
      <c r="K2687" s="19"/>
      <c r="N2687" s="19"/>
    </row>
    <row r="2688" spans="2:14" x14ac:dyDescent="0.25">
      <c r="B2688" s="19"/>
      <c r="E2688" s="19"/>
      <c r="H2688" s="19"/>
      <c r="K2688" s="19"/>
      <c r="N2688" s="19"/>
    </row>
    <row r="2689" spans="2:14" x14ac:dyDescent="0.25">
      <c r="B2689" s="19"/>
      <c r="E2689" s="19"/>
      <c r="H2689" s="19"/>
      <c r="K2689" s="19"/>
      <c r="N2689" s="19"/>
    </row>
    <row r="2690" spans="2:14" x14ac:dyDescent="0.25">
      <c r="B2690" s="19"/>
      <c r="E2690" s="19"/>
      <c r="H2690" s="19"/>
      <c r="K2690" s="19"/>
      <c r="N2690" s="19"/>
    </row>
    <row r="2691" spans="2:14" x14ac:dyDescent="0.25">
      <c r="B2691" s="19"/>
      <c r="E2691" s="19"/>
      <c r="H2691" s="19"/>
      <c r="K2691" s="19"/>
      <c r="N2691" s="19"/>
    </row>
    <row r="2692" spans="2:14" x14ac:dyDescent="0.25">
      <c r="B2692" s="19"/>
      <c r="E2692" s="19"/>
      <c r="H2692" s="19"/>
      <c r="K2692" s="19"/>
      <c r="N2692" s="19"/>
    </row>
    <row r="2693" spans="2:14" x14ac:dyDescent="0.25">
      <c r="B2693" s="19"/>
      <c r="E2693" s="19"/>
      <c r="H2693" s="19"/>
      <c r="K2693" s="19"/>
      <c r="N2693" s="19"/>
    </row>
    <row r="2694" spans="2:14" x14ac:dyDescent="0.25">
      <c r="B2694" s="19"/>
      <c r="E2694" s="19"/>
      <c r="H2694" s="19"/>
      <c r="K2694" s="19"/>
      <c r="N2694" s="19"/>
    </row>
    <row r="2695" spans="2:14" x14ac:dyDescent="0.25">
      <c r="B2695" s="19"/>
      <c r="E2695" s="19"/>
      <c r="H2695" s="19"/>
      <c r="K2695" s="19"/>
      <c r="N2695" s="19"/>
    </row>
    <row r="2696" spans="2:14" x14ac:dyDescent="0.25">
      <c r="B2696" s="19"/>
      <c r="E2696" s="19"/>
      <c r="H2696" s="19"/>
      <c r="K2696" s="19"/>
      <c r="N2696" s="19"/>
    </row>
    <row r="2697" spans="2:14" x14ac:dyDescent="0.25">
      <c r="B2697" s="19"/>
      <c r="E2697" s="19"/>
      <c r="H2697" s="19"/>
      <c r="K2697" s="19"/>
      <c r="N2697" s="19"/>
    </row>
    <row r="2698" spans="2:14" x14ac:dyDescent="0.25">
      <c r="B2698" s="19"/>
      <c r="E2698" s="19"/>
      <c r="H2698" s="19"/>
      <c r="K2698" s="19"/>
      <c r="N2698" s="19"/>
    </row>
    <row r="2699" spans="2:14" x14ac:dyDescent="0.25">
      <c r="B2699" s="19"/>
      <c r="E2699" s="19"/>
      <c r="H2699" s="19"/>
      <c r="K2699" s="19"/>
      <c r="N2699" s="19"/>
    </row>
    <row r="2700" spans="2:14" x14ac:dyDescent="0.25">
      <c r="B2700" s="19"/>
      <c r="E2700" s="19"/>
      <c r="H2700" s="19"/>
      <c r="K2700" s="19"/>
      <c r="N2700" s="19"/>
    </row>
    <row r="2701" spans="2:14" x14ac:dyDescent="0.25">
      <c r="B2701" s="19"/>
      <c r="E2701" s="19"/>
      <c r="H2701" s="19"/>
      <c r="K2701" s="19"/>
      <c r="N2701" s="19"/>
    </row>
    <row r="2702" spans="2:14" x14ac:dyDescent="0.25">
      <c r="B2702" s="19"/>
      <c r="E2702" s="19"/>
      <c r="H2702" s="19"/>
      <c r="K2702" s="19"/>
      <c r="N2702" s="19"/>
    </row>
    <row r="2703" spans="2:14" x14ac:dyDescent="0.25">
      <c r="B2703" s="19"/>
      <c r="E2703" s="19"/>
      <c r="H2703" s="19"/>
      <c r="K2703" s="19"/>
      <c r="N2703" s="19"/>
    </row>
    <row r="2704" spans="2:14" x14ac:dyDescent="0.25">
      <c r="B2704" s="19"/>
      <c r="E2704" s="19"/>
      <c r="H2704" s="19"/>
      <c r="K2704" s="19"/>
      <c r="N2704" s="19"/>
    </row>
    <row r="2705" spans="2:14" x14ac:dyDescent="0.25">
      <c r="B2705" s="19"/>
      <c r="E2705" s="19"/>
      <c r="H2705" s="19"/>
      <c r="K2705" s="19"/>
      <c r="N2705" s="19"/>
    </row>
    <row r="2706" spans="2:14" x14ac:dyDescent="0.25">
      <c r="B2706" s="19"/>
      <c r="E2706" s="19"/>
      <c r="H2706" s="19"/>
      <c r="K2706" s="19"/>
      <c r="N2706" s="19"/>
    </row>
    <row r="2707" spans="2:14" x14ac:dyDescent="0.25">
      <c r="B2707" s="19"/>
      <c r="E2707" s="19"/>
      <c r="H2707" s="19"/>
      <c r="K2707" s="19"/>
      <c r="N2707" s="19"/>
    </row>
    <row r="2708" spans="2:14" x14ac:dyDescent="0.25">
      <c r="B2708" s="19"/>
      <c r="E2708" s="19"/>
      <c r="H2708" s="19"/>
      <c r="K2708" s="19"/>
      <c r="N2708" s="19"/>
    </row>
    <row r="2709" spans="2:14" x14ac:dyDescent="0.25">
      <c r="B2709" s="19"/>
      <c r="E2709" s="19"/>
      <c r="H2709" s="19"/>
      <c r="K2709" s="19"/>
      <c r="N2709" s="19"/>
    </row>
    <row r="2710" spans="2:14" x14ac:dyDescent="0.25">
      <c r="B2710" s="19"/>
      <c r="E2710" s="19"/>
      <c r="H2710" s="19"/>
      <c r="K2710" s="19"/>
      <c r="N2710" s="19"/>
    </row>
    <row r="2711" spans="2:14" x14ac:dyDescent="0.25">
      <c r="B2711" s="19"/>
      <c r="E2711" s="19"/>
      <c r="H2711" s="19"/>
      <c r="K2711" s="19"/>
      <c r="N2711" s="19"/>
    </row>
    <row r="2712" spans="2:14" x14ac:dyDescent="0.25">
      <c r="B2712" s="19"/>
      <c r="E2712" s="19"/>
      <c r="H2712" s="19"/>
      <c r="K2712" s="19"/>
      <c r="N2712" s="19"/>
    </row>
    <row r="2713" spans="2:14" x14ac:dyDescent="0.25">
      <c r="B2713" s="19"/>
      <c r="E2713" s="19"/>
      <c r="H2713" s="19"/>
      <c r="K2713" s="19"/>
      <c r="N2713" s="19"/>
    </row>
    <row r="2714" spans="2:14" x14ac:dyDescent="0.25">
      <c r="B2714" s="19"/>
      <c r="E2714" s="19"/>
      <c r="H2714" s="19"/>
      <c r="K2714" s="19"/>
      <c r="N2714" s="19"/>
    </row>
    <row r="2715" spans="2:14" x14ac:dyDescent="0.25">
      <c r="B2715" s="19"/>
      <c r="E2715" s="19"/>
      <c r="H2715" s="19"/>
      <c r="K2715" s="19"/>
      <c r="N2715" s="19"/>
    </row>
    <row r="2716" spans="2:14" x14ac:dyDescent="0.25">
      <c r="B2716" s="19"/>
      <c r="E2716" s="19"/>
      <c r="H2716" s="19"/>
      <c r="K2716" s="19"/>
      <c r="N2716" s="19"/>
    </row>
    <row r="2717" spans="2:14" x14ac:dyDescent="0.25">
      <c r="B2717" s="19"/>
      <c r="E2717" s="19"/>
      <c r="H2717" s="19"/>
      <c r="K2717" s="19"/>
      <c r="N2717" s="19"/>
    </row>
    <row r="2718" spans="2:14" x14ac:dyDescent="0.25">
      <c r="B2718" s="19"/>
      <c r="E2718" s="19"/>
      <c r="H2718" s="19"/>
      <c r="K2718" s="19"/>
      <c r="N2718" s="19"/>
    </row>
    <row r="2719" spans="2:14" x14ac:dyDescent="0.25">
      <c r="B2719" s="19"/>
      <c r="E2719" s="19"/>
      <c r="H2719" s="19"/>
      <c r="K2719" s="19"/>
      <c r="N2719" s="19"/>
    </row>
    <row r="2720" spans="2:14" x14ac:dyDescent="0.25">
      <c r="B2720" s="19"/>
      <c r="E2720" s="19"/>
      <c r="H2720" s="19"/>
      <c r="K2720" s="19"/>
      <c r="N2720" s="19"/>
    </row>
    <row r="2721" spans="2:14" x14ac:dyDescent="0.25">
      <c r="B2721" s="19"/>
      <c r="E2721" s="19"/>
      <c r="H2721" s="19"/>
      <c r="K2721" s="19"/>
      <c r="N2721" s="19"/>
    </row>
    <row r="2722" spans="2:14" x14ac:dyDescent="0.25">
      <c r="B2722" s="19"/>
      <c r="E2722" s="19"/>
      <c r="H2722" s="19"/>
      <c r="K2722" s="19"/>
      <c r="N2722" s="19"/>
    </row>
    <row r="2723" spans="2:14" x14ac:dyDescent="0.25">
      <c r="B2723" s="19"/>
      <c r="E2723" s="19"/>
      <c r="H2723" s="19"/>
      <c r="K2723" s="19"/>
      <c r="N2723" s="19"/>
    </row>
    <row r="2724" spans="2:14" x14ac:dyDescent="0.25">
      <c r="B2724" s="19"/>
      <c r="E2724" s="19"/>
      <c r="H2724" s="19"/>
      <c r="K2724" s="19"/>
      <c r="N2724" s="19"/>
    </row>
    <row r="2725" spans="2:14" x14ac:dyDescent="0.25">
      <c r="B2725" s="19"/>
      <c r="E2725" s="19"/>
      <c r="H2725" s="19"/>
      <c r="K2725" s="19"/>
      <c r="N2725" s="19"/>
    </row>
    <row r="2726" spans="2:14" x14ac:dyDescent="0.25">
      <c r="B2726" s="19"/>
      <c r="E2726" s="19"/>
      <c r="H2726" s="19"/>
      <c r="K2726" s="19"/>
      <c r="N2726" s="19"/>
    </row>
    <row r="2727" spans="2:14" x14ac:dyDescent="0.25">
      <c r="B2727" s="19"/>
      <c r="E2727" s="19"/>
      <c r="H2727" s="19"/>
      <c r="K2727" s="19"/>
      <c r="N2727" s="19"/>
    </row>
    <row r="2728" spans="2:14" x14ac:dyDescent="0.25">
      <c r="B2728" s="19"/>
      <c r="E2728" s="19"/>
      <c r="H2728" s="19"/>
      <c r="K2728" s="19"/>
      <c r="N2728" s="19"/>
    </row>
    <row r="2729" spans="2:14" x14ac:dyDescent="0.25">
      <c r="B2729" s="19"/>
      <c r="E2729" s="19"/>
      <c r="H2729" s="19"/>
      <c r="K2729" s="19"/>
      <c r="N2729" s="19"/>
    </row>
    <row r="2730" spans="2:14" x14ac:dyDescent="0.25">
      <c r="B2730" s="19"/>
      <c r="E2730" s="19"/>
      <c r="H2730" s="19"/>
      <c r="K2730" s="19"/>
      <c r="N2730" s="19"/>
    </row>
    <row r="2731" spans="2:14" x14ac:dyDescent="0.25">
      <c r="B2731" s="19"/>
      <c r="E2731" s="19"/>
      <c r="H2731" s="19"/>
      <c r="K2731" s="19"/>
      <c r="N2731" s="19"/>
    </row>
    <row r="2732" spans="2:14" x14ac:dyDescent="0.25">
      <c r="B2732" s="19"/>
      <c r="E2732" s="19"/>
      <c r="H2732" s="19"/>
      <c r="K2732" s="19"/>
      <c r="N2732" s="19"/>
    </row>
    <row r="2733" spans="2:14" x14ac:dyDescent="0.25">
      <c r="B2733" s="19"/>
      <c r="E2733" s="19"/>
      <c r="H2733" s="19"/>
      <c r="K2733" s="19"/>
      <c r="N2733" s="19"/>
    </row>
    <row r="2734" spans="2:14" x14ac:dyDescent="0.25">
      <c r="B2734" s="19"/>
      <c r="E2734" s="19"/>
      <c r="H2734" s="19"/>
      <c r="K2734" s="19"/>
      <c r="N2734" s="19"/>
    </row>
    <row r="2735" spans="2:14" x14ac:dyDescent="0.25">
      <c r="B2735" s="19"/>
      <c r="E2735" s="19"/>
      <c r="H2735" s="19"/>
      <c r="K2735" s="19"/>
      <c r="N2735" s="19"/>
    </row>
    <row r="2736" spans="2:14" x14ac:dyDescent="0.25">
      <c r="B2736" s="19"/>
      <c r="E2736" s="19"/>
      <c r="H2736" s="19"/>
      <c r="K2736" s="19"/>
      <c r="N2736" s="19"/>
    </row>
    <row r="2737" spans="2:14" x14ac:dyDescent="0.25">
      <c r="B2737" s="19"/>
      <c r="E2737" s="19"/>
      <c r="H2737" s="19"/>
      <c r="K2737" s="19"/>
      <c r="N2737" s="19"/>
    </row>
    <row r="2738" spans="2:14" x14ac:dyDescent="0.25">
      <c r="B2738" s="19"/>
      <c r="E2738" s="19"/>
      <c r="H2738" s="19"/>
      <c r="K2738" s="19"/>
      <c r="N2738" s="19"/>
    </row>
    <row r="2739" spans="2:14" x14ac:dyDescent="0.25">
      <c r="B2739" s="19"/>
      <c r="E2739" s="19"/>
      <c r="H2739" s="19"/>
      <c r="K2739" s="19"/>
      <c r="N2739" s="19"/>
    </row>
    <row r="2740" spans="2:14" x14ac:dyDescent="0.25">
      <c r="B2740" s="19"/>
      <c r="E2740" s="19"/>
      <c r="H2740" s="19"/>
      <c r="K2740" s="19"/>
      <c r="N2740" s="19"/>
    </row>
    <row r="2741" spans="2:14" x14ac:dyDescent="0.25">
      <c r="B2741" s="19"/>
      <c r="E2741" s="19"/>
      <c r="H2741" s="19"/>
      <c r="K2741" s="19"/>
      <c r="N2741" s="19"/>
    </row>
    <row r="2742" spans="2:14" x14ac:dyDescent="0.25">
      <c r="B2742" s="19"/>
      <c r="E2742" s="19"/>
      <c r="H2742" s="19"/>
      <c r="K2742" s="19"/>
      <c r="N2742" s="19"/>
    </row>
    <row r="2743" spans="2:14" x14ac:dyDescent="0.25">
      <c r="B2743" s="19"/>
      <c r="E2743" s="19"/>
      <c r="H2743" s="19"/>
      <c r="K2743" s="19"/>
      <c r="N2743" s="19"/>
    </row>
    <row r="2744" spans="2:14" x14ac:dyDescent="0.25">
      <c r="B2744" s="19"/>
      <c r="E2744" s="19"/>
      <c r="H2744" s="19"/>
      <c r="K2744" s="19"/>
      <c r="N2744" s="19"/>
    </row>
    <row r="2745" spans="2:14" x14ac:dyDescent="0.25">
      <c r="B2745" s="19"/>
      <c r="E2745" s="19"/>
      <c r="H2745" s="19"/>
      <c r="K2745" s="19"/>
      <c r="N2745" s="19"/>
    </row>
    <row r="2746" spans="2:14" x14ac:dyDescent="0.25">
      <c r="B2746" s="19"/>
      <c r="E2746" s="19"/>
      <c r="H2746" s="19"/>
      <c r="K2746" s="19"/>
      <c r="N2746" s="19"/>
    </row>
    <row r="2747" spans="2:14" x14ac:dyDescent="0.25">
      <c r="B2747" s="19"/>
      <c r="E2747" s="19"/>
      <c r="H2747" s="19"/>
      <c r="K2747" s="19"/>
      <c r="N2747" s="19"/>
    </row>
    <row r="2748" spans="2:14" x14ac:dyDescent="0.25">
      <c r="B2748" s="19"/>
      <c r="E2748" s="19"/>
      <c r="H2748" s="19"/>
      <c r="K2748" s="19"/>
      <c r="N2748" s="19"/>
    </row>
    <row r="2749" spans="2:14" x14ac:dyDescent="0.25">
      <c r="B2749" s="19"/>
      <c r="E2749" s="19"/>
      <c r="H2749" s="19"/>
      <c r="K2749" s="19"/>
      <c r="N2749" s="19"/>
    </row>
    <row r="2750" spans="2:14" x14ac:dyDescent="0.25">
      <c r="B2750" s="19"/>
      <c r="E2750" s="19"/>
      <c r="H2750" s="19"/>
      <c r="K2750" s="19"/>
      <c r="N2750" s="19"/>
    </row>
    <row r="2751" spans="2:14" x14ac:dyDescent="0.25">
      <c r="B2751" s="19"/>
      <c r="E2751" s="19"/>
      <c r="H2751" s="19"/>
      <c r="K2751" s="19"/>
      <c r="N2751" s="19"/>
    </row>
    <row r="2752" spans="2:14" x14ac:dyDescent="0.25">
      <c r="B2752" s="19"/>
      <c r="E2752" s="19"/>
      <c r="H2752" s="19"/>
      <c r="K2752" s="19"/>
      <c r="N2752" s="19"/>
    </row>
    <row r="2753" spans="2:14" x14ac:dyDescent="0.25">
      <c r="B2753" s="19"/>
      <c r="E2753" s="19"/>
      <c r="H2753" s="19"/>
      <c r="K2753" s="19"/>
      <c r="N2753" s="19"/>
    </row>
    <row r="2754" spans="2:14" x14ac:dyDescent="0.25">
      <c r="B2754" s="19"/>
      <c r="E2754" s="19"/>
      <c r="H2754" s="19"/>
      <c r="K2754" s="19"/>
      <c r="N2754" s="19"/>
    </row>
    <row r="2755" spans="2:14" x14ac:dyDescent="0.25">
      <c r="B2755" s="19"/>
      <c r="E2755" s="19"/>
      <c r="H2755" s="19"/>
      <c r="K2755" s="19"/>
      <c r="N2755" s="19"/>
    </row>
    <row r="2756" spans="2:14" x14ac:dyDescent="0.25">
      <c r="B2756" s="19"/>
      <c r="E2756" s="19"/>
      <c r="H2756" s="19"/>
      <c r="K2756" s="19"/>
      <c r="N2756" s="19"/>
    </row>
    <row r="2757" spans="2:14" x14ac:dyDescent="0.25">
      <c r="B2757" s="19"/>
      <c r="E2757" s="19"/>
      <c r="H2757" s="19"/>
      <c r="K2757" s="19"/>
      <c r="N2757" s="19"/>
    </row>
    <row r="2758" spans="2:14" x14ac:dyDescent="0.25">
      <c r="B2758" s="19"/>
      <c r="E2758" s="19"/>
      <c r="H2758" s="19"/>
      <c r="K2758" s="19"/>
      <c r="N2758" s="19"/>
    </row>
    <row r="2759" spans="2:14" x14ac:dyDescent="0.25">
      <c r="B2759" s="19"/>
      <c r="E2759" s="19"/>
      <c r="H2759" s="19"/>
      <c r="K2759" s="19"/>
      <c r="N2759" s="19"/>
    </row>
    <row r="2760" spans="2:14" x14ac:dyDescent="0.25">
      <c r="B2760" s="19"/>
      <c r="E2760" s="19"/>
      <c r="H2760" s="19"/>
      <c r="K2760" s="19"/>
      <c r="N2760" s="19"/>
    </row>
    <row r="2761" spans="2:14" x14ac:dyDescent="0.25">
      <c r="B2761" s="19"/>
      <c r="E2761" s="19"/>
      <c r="H2761" s="19"/>
      <c r="K2761" s="19"/>
      <c r="N2761" s="19"/>
    </row>
    <row r="2762" spans="2:14" x14ac:dyDescent="0.25">
      <c r="B2762" s="19"/>
      <c r="E2762" s="19"/>
      <c r="H2762" s="19"/>
      <c r="K2762" s="19"/>
      <c r="N2762" s="19"/>
    </row>
    <row r="2763" spans="2:14" x14ac:dyDescent="0.25">
      <c r="B2763" s="19"/>
      <c r="E2763" s="19"/>
      <c r="H2763" s="19"/>
      <c r="K2763" s="19"/>
      <c r="N2763" s="19"/>
    </row>
    <row r="2764" spans="2:14" x14ac:dyDescent="0.25">
      <c r="B2764" s="19"/>
      <c r="E2764" s="19"/>
      <c r="H2764" s="19"/>
      <c r="K2764" s="19"/>
      <c r="N2764" s="19"/>
    </row>
    <row r="2765" spans="2:14" x14ac:dyDescent="0.25">
      <c r="B2765" s="19"/>
      <c r="E2765" s="19"/>
      <c r="H2765" s="19"/>
      <c r="K2765" s="19"/>
      <c r="N2765" s="19"/>
    </row>
    <row r="2766" spans="2:14" x14ac:dyDescent="0.25">
      <c r="B2766" s="19"/>
      <c r="E2766" s="19"/>
      <c r="H2766" s="19"/>
      <c r="K2766" s="19"/>
      <c r="N2766" s="19"/>
    </row>
    <row r="2767" spans="2:14" x14ac:dyDescent="0.25">
      <c r="B2767" s="19"/>
      <c r="E2767" s="19"/>
      <c r="H2767" s="19"/>
      <c r="K2767" s="19"/>
      <c r="N2767" s="19"/>
    </row>
    <row r="2768" spans="2:14" x14ac:dyDescent="0.25">
      <c r="B2768" s="19"/>
      <c r="E2768" s="19"/>
      <c r="H2768" s="19"/>
      <c r="K2768" s="19"/>
      <c r="N2768" s="19"/>
    </row>
    <row r="2769" spans="2:14" x14ac:dyDescent="0.25">
      <c r="B2769" s="19"/>
      <c r="E2769" s="19"/>
      <c r="H2769" s="19"/>
      <c r="K2769" s="19"/>
      <c r="N2769" s="19"/>
    </row>
    <row r="2770" spans="2:14" x14ac:dyDescent="0.25">
      <c r="B2770" s="19"/>
      <c r="E2770" s="19"/>
      <c r="H2770" s="19"/>
      <c r="K2770" s="19"/>
      <c r="N2770" s="19"/>
    </row>
    <row r="2771" spans="2:14" x14ac:dyDescent="0.25">
      <c r="B2771" s="19"/>
      <c r="E2771" s="19"/>
      <c r="H2771" s="19"/>
      <c r="K2771" s="19"/>
      <c r="N2771" s="19"/>
    </row>
    <row r="2772" spans="2:14" x14ac:dyDescent="0.25">
      <c r="B2772" s="19"/>
      <c r="E2772" s="19"/>
      <c r="H2772" s="19"/>
      <c r="K2772" s="19"/>
      <c r="N2772" s="19"/>
    </row>
    <row r="2773" spans="2:14" x14ac:dyDescent="0.25">
      <c r="B2773" s="19"/>
      <c r="E2773" s="19"/>
      <c r="H2773" s="19"/>
      <c r="K2773" s="19"/>
      <c r="N2773" s="19"/>
    </row>
    <row r="2774" spans="2:14" x14ac:dyDescent="0.25">
      <c r="B2774" s="19"/>
      <c r="E2774" s="19"/>
      <c r="H2774" s="19"/>
      <c r="K2774" s="19"/>
      <c r="N2774" s="19"/>
    </row>
    <row r="2775" spans="2:14" x14ac:dyDescent="0.25">
      <c r="B2775" s="19"/>
      <c r="E2775" s="19"/>
      <c r="H2775" s="19"/>
      <c r="K2775" s="19"/>
      <c r="N2775" s="19"/>
    </row>
    <row r="2776" spans="2:14" x14ac:dyDescent="0.25">
      <c r="B2776" s="19"/>
      <c r="E2776" s="19"/>
      <c r="H2776" s="19"/>
      <c r="K2776" s="19"/>
      <c r="N2776" s="19"/>
    </row>
    <row r="2777" spans="2:14" x14ac:dyDescent="0.25">
      <c r="B2777" s="19"/>
      <c r="E2777" s="19"/>
      <c r="H2777" s="19"/>
      <c r="K2777" s="19"/>
      <c r="N2777" s="19"/>
    </row>
    <row r="2778" spans="2:14" x14ac:dyDescent="0.25">
      <c r="B2778" s="19"/>
      <c r="E2778" s="19"/>
      <c r="H2778" s="19"/>
      <c r="K2778" s="19"/>
      <c r="N2778" s="19"/>
    </row>
    <row r="2779" spans="2:14" x14ac:dyDescent="0.25">
      <c r="B2779" s="19"/>
      <c r="E2779" s="19"/>
      <c r="H2779" s="19"/>
      <c r="K2779" s="19"/>
      <c r="N2779" s="19"/>
    </row>
    <row r="2780" spans="2:14" x14ac:dyDescent="0.25">
      <c r="B2780" s="19"/>
      <c r="E2780" s="19"/>
      <c r="H2780" s="19"/>
      <c r="K2780" s="19"/>
      <c r="N2780" s="19"/>
    </row>
    <row r="2781" spans="2:14" x14ac:dyDescent="0.25">
      <c r="B2781" s="19"/>
      <c r="E2781" s="19"/>
      <c r="H2781" s="19"/>
      <c r="K2781" s="19"/>
      <c r="N2781" s="19"/>
    </row>
    <row r="2782" spans="2:14" x14ac:dyDescent="0.25">
      <c r="B2782" s="19"/>
      <c r="E2782" s="19"/>
      <c r="H2782" s="19"/>
      <c r="K2782" s="19"/>
      <c r="N2782" s="19"/>
    </row>
    <row r="2783" spans="2:14" x14ac:dyDescent="0.25">
      <c r="B2783" s="19"/>
      <c r="E2783" s="19"/>
      <c r="H2783" s="19"/>
      <c r="K2783" s="19"/>
      <c r="N2783" s="19"/>
    </row>
    <row r="2784" spans="2:14" x14ac:dyDescent="0.25">
      <c r="B2784" s="19"/>
      <c r="E2784" s="19"/>
      <c r="H2784" s="19"/>
      <c r="K2784" s="19"/>
      <c r="N2784" s="19"/>
    </row>
    <row r="2785" spans="2:14" x14ac:dyDescent="0.25">
      <c r="B2785" s="19"/>
      <c r="E2785" s="19"/>
      <c r="H2785" s="19"/>
      <c r="K2785" s="19"/>
      <c r="N2785" s="19"/>
    </row>
    <row r="2786" spans="2:14" x14ac:dyDescent="0.25">
      <c r="B2786" s="19"/>
      <c r="E2786" s="19"/>
      <c r="H2786" s="19"/>
      <c r="K2786" s="19"/>
      <c r="N2786" s="19"/>
    </row>
    <row r="2787" spans="2:14" x14ac:dyDescent="0.25">
      <c r="B2787" s="19"/>
      <c r="E2787" s="19"/>
      <c r="H2787" s="19"/>
      <c r="K2787" s="19"/>
      <c r="N2787" s="19"/>
    </row>
    <row r="2788" spans="2:14" x14ac:dyDescent="0.25">
      <c r="B2788" s="19"/>
      <c r="E2788" s="19"/>
      <c r="H2788" s="19"/>
      <c r="K2788" s="19"/>
      <c r="N2788" s="19"/>
    </row>
    <row r="2789" spans="2:14" x14ac:dyDescent="0.25">
      <c r="B2789" s="19"/>
      <c r="E2789" s="19"/>
      <c r="H2789" s="19"/>
      <c r="K2789" s="19"/>
      <c r="N2789" s="19"/>
    </row>
    <row r="2790" spans="2:14" x14ac:dyDescent="0.25">
      <c r="B2790" s="19"/>
      <c r="E2790" s="19"/>
      <c r="H2790" s="19"/>
      <c r="K2790" s="19"/>
      <c r="N2790" s="19"/>
    </row>
    <row r="2791" spans="2:14" x14ac:dyDescent="0.25">
      <c r="B2791" s="19"/>
      <c r="E2791" s="19"/>
      <c r="H2791" s="19"/>
      <c r="K2791" s="19"/>
      <c r="N2791" s="19"/>
    </row>
    <row r="2792" spans="2:14" x14ac:dyDescent="0.25">
      <c r="B2792" s="19"/>
      <c r="E2792" s="19"/>
      <c r="H2792" s="19"/>
      <c r="K2792" s="19"/>
      <c r="N2792" s="19"/>
    </row>
    <row r="2793" spans="2:14" x14ac:dyDescent="0.25">
      <c r="B2793" s="19"/>
      <c r="E2793" s="19"/>
      <c r="H2793" s="19"/>
      <c r="K2793" s="19"/>
      <c r="N2793" s="19"/>
    </row>
    <row r="2794" spans="2:14" x14ac:dyDescent="0.25">
      <c r="B2794" s="19"/>
      <c r="E2794" s="19"/>
      <c r="H2794" s="19"/>
      <c r="K2794" s="19"/>
      <c r="N2794" s="19"/>
    </row>
    <row r="2795" spans="2:14" x14ac:dyDescent="0.25">
      <c r="B2795" s="19"/>
      <c r="E2795" s="19"/>
      <c r="H2795" s="19"/>
      <c r="K2795" s="19"/>
      <c r="N2795" s="19"/>
    </row>
    <row r="2796" spans="2:14" x14ac:dyDescent="0.25">
      <c r="B2796" s="19"/>
      <c r="E2796" s="19"/>
      <c r="H2796" s="19"/>
      <c r="K2796" s="19"/>
      <c r="N2796" s="19"/>
    </row>
    <row r="2797" spans="2:14" x14ac:dyDescent="0.25">
      <c r="B2797" s="19"/>
      <c r="E2797" s="19"/>
      <c r="H2797" s="19"/>
      <c r="K2797" s="19"/>
      <c r="N2797" s="19"/>
    </row>
    <row r="2798" spans="2:14" x14ac:dyDescent="0.25">
      <c r="B2798" s="19"/>
      <c r="E2798" s="19"/>
      <c r="H2798" s="19"/>
      <c r="K2798" s="19"/>
      <c r="N2798" s="19"/>
    </row>
    <row r="2799" spans="2:14" x14ac:dyDescent="0.25">
      <c r="B2799" s="19"/>
      <c r="E2799" s="19"/>
      <c r="H2799" s="19"/>
      <c r="K2799" s="19"/>
      <c r="N2799" s="19"/>
    </row>
    <row r="2800" spans="2:14" x14ac:dyDescent="0.25">
      <c r="B2800" s="19"/>
      <c r="E2800" s="19"/>
      <c r="H2800" s="19"/>
      <c r="K2800" s="19"/>
      <c r="N2800" s="19"/>
    </row>
    <row r="2801" spans="2:14" x14ac:dyDescent="0.25">
      <c r="B2801" s="19"/>
      <c r="E2801" s="19"/>
      <c r="H2801" s="19"/>
      <c r="K2801" s="19"/>
      <c r="N2801" s="19"/>
    </row>
    <row r="2802" spans="2:14" x14ac:dyDescent="0.25">
      <c r="B2802" s="19"/>
      <c r="E2802" s="19"/>
      <c r="H2802" s="19"/>
      <c r="K2802" s="19"/>
      <c r="N2802" s="19"/>
    </row>
    <row r="2803" spans="2:14" x14ac:dyDescent="0.25">
      <c r="B2803" s="19"/>
      <c r="E2803" s="19"/>
      <c r="H2803" s="19"/>
      <c r="K2803" s="19"/>
      <c r="N2803" s="19"/>
    </row>
    <row r="2804" spans="2:14" x14ac:dyDescent="0.25">
      <c r="B2804" s="19"/>
      <c r="E2804" s="19"/>
      <c r="H2804" s="19"/>
      <c r="K2804" s="19"/>
      <c r="N2804" s="19"/>
    </row>
    <row r="2805" spans="2:14" x14ac:dyDescent="0.25">
      <c r="B2805" s="19"/>
      <c r="E2805" s="19"/>
      <c r="H2805" s="19"/>
      <c r="K2805" s="19"/>
      <c r="N2805" s="19"/>
    </row>
    <row r="2806" spans="2:14" x14ac:dyDescent="0.25">
      <c r="B2806" s="19"/>
      <c r="E2806" s="19"/>
      <c r="H2806" s="19"/>
      <c r="K2806" s="19"/>
      <c r="N2806" s="19"/>
    </row>
    <row r="2807" spans="2:14" x14ac:dyDescent="0.25">
      <c r="B2807" s="19"/>
      <c r="E2807" s="19"/>
      <c r="H2807" s="19"/>
      <c r="K2807" s="19"/>
      <c r="N2807" s="19"/>
    </row>
    <row r="2808" spans="2:14" x14ac:dyDescent="0.25">
      <c r="B2808" s="19"/>
      <c r="E2808" s="19"/>
      <c r="H2808" s="19"/>
      <c r="K2808" s="19"/>
      <c r="N2808" s="19"/>
    </row>
    <row r="2809" spans="2:14" x14ac:dyDescent="0.25">
      <c r="B2809" s="19"/>
      <c r="E2809" s="19"/>
      <c r="H2809" s="19"/>
      <c r="K2809" s="19"/>
      <c r="N2809" s="19"/>
    </row>
    <row r="2810" spans="2:14" x14ac:dyDescent="0.25">
      <c r="B2810" s="19"/>
      <c r="E2810" s="19"/>
      <c r="H2810" s="19"/>
      <c r="K2810" s="19"/>
      <c r="N2810" s="19"/>
    </row>
    <row r="2811" spans="2:14" x14ac:dyDescent="0.25">
      <c r="B2811" s="19"/>
      <c r="E2811" s="19"/>
      <c r="H2811" s="19"/>
      <c r="K2811" s="19"/>
      <c r="N2811" s="19"/>
    </row>
    <row r="2812" spans="2:14" x14ac:dyDescent="0.25">
      <c r="B2812" s="19"/>
      <c r="E2812" s="19"/>
      <c r="H2812" s="19"/>
      <c r="K2812" s="19"/>
      <c r="N2812" s="19"/>
    </row>
    <row r="2813" spans="2:14" x14ac:dyDescent="0.25">
      <c r="B2813" s="19"/>
      <c r="E2813" s="19"/>
      <c r="H2813" s="19"/>
      <c r="K2813" s="19"/>
      <c r="N2813" s="19"/>
    </row>
    <row r="2814" spans="2:14" x14ac:dyDescent="0.25">
      <c r="B2814" s="19"/>
      <c r="E2814" s="19"/>
      <c r="H2814" s="19"/>
      <c r="K2814" s="19"/>
      <c r="N2814" s="19"/>
    </row>
    <row r="2815" spans="2:14" x14ac:dyDescent="0.25">
      <c r="B2815" s="19"/>
      <c r="E2815" s="19"/>
      <c r="H2815" s="19"/>
      <c r="K2815" s="19"/>
      <c r="N2815" s="19"/>
    </row>
    <row r="2816" spans="2:14" x14ac:dyDescent="0.25">
      <c r="B2816" s="19"/>
      <c r="E2816" s="19"/>
      <c r="H2816" s="19"/>
      <c r="K2816" s="19"/>
      <c r="N2816" s="19"/>
    </row>
    <row r="2817" spans="2:14" x14ac:dyDescent="0.25">
      <c r="B2817" s="19"/>
      <c r="E2817" s="19"/>
      <c r="H2817" s="19"/>
      <c r="K2817" s="19"/>
      <c r="N2817" s="19"/>
    </row>
    <row r="2818" spans="2:14" x14ac:dyDescent="0.25">
      <c r="B2818" s="19"/>
      <c r="E2818" s="19"/>
      <c r="H2818" s="19"/>
      <c r="K2818" s="19"/>
      <c r="N2818" s="19"/>
    </row>
    <row r="2819" spans="2:14" x14ac:dyDescent="0.25">
      <c r="B2819" s="19"/>
      <c r="E2819" s="19"/>
      <c r="H2819" s="19"/>
      <c r="K2819" s="19"/>
      <c r="N2819" s="19"/>
    </row>
    <row r="2820" spans="2:14" x14ac:dyDescent="0.25">
      <c r="B2820" s="19"/>
      <c r="E2820" s="19"/>
      <c r="H2820" s="19"/>
      <c r="K2820" s="19"/>
      <c r="N2820" s="19"/>
    </row>
    <row r="2821" spans="2:14" x14ac:dyDescent="0.25">
      <c r="B2821" s="19"/>
      <c r="E2821" s="19"/>
      <c r="H2821" s="19"/>
      <c r="K2821" s="19"/>
      <c r="N2821" s="19"/>
    </row>
    <row r="2822" spans="2:14" x14ac:dyDescent="0.25">
      <c r="B2822" s="19"/>
      <c r="E2822" s="19"/>
      <c r="H2822" s="1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Control</vt:lpstr>
      <vt:lpstr>Underlyings</vt:lpstr>
    </vt:vector>
  </TitlesOfParts>
  <Company>Barclays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NADJARI, Anthony : Markets</dc:creator>
  <cp:lastModifiedBy>NADJARI, Anthony : Markets</cp:lastModifiedBy>
  <dcterms:created xsi:type="dcterms:W3CDTF">2022-02-21T09:03:51Z</dcterms:created>
  <dcterms:modified xsi:type="dcterms:W3CDTF">2022-02-24T12:57:45Z</dcterms:modified>
</cp:coreProperties>
</file>